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ropostas\Programas Toldos\Iris\"/>
    </mc:Choice>
  </mc:AlternateContent>
  <xr:revisionPtr revIDLastSave="0" documentId="13_ncr:1_{23E0E33E-E0EA-4DC1-80BC-F4822CC8A210}" xr6:coauthVersionLast="47" xr6:coauthVersionMax="47" xr10:uidLastSave="{00000000-0000-0000-0000-000000000000}"/>
  <bookViews>
    <workbookView xWindow="-28920" yWindow="-120" windowWidth="29040" windowHeight="15720" xr2:uid="{2A960FE0-30F5-4904-9C64-45E77A2F6CDC}"/>
  </bookViews>
  <sheets>
    <sheet name="Datos" sheetId="2" r:id="rId1"/>
    <sheet name="Medidas Toldo 1" sheetId="5" r:id="rId2"/>
    <sheet name="Medidas Toldo 2" sheetId="7" r:id="rId3"/>
    <sheet name="Medidas Toldo 3" sheetId="8" r:id="rId4"/>
    <sheet name="Medidas Toldo 4" sheetId="9" r:id="rId5"/>
    <sheet name="M TELAS" sheetId="10" r:id="rId6"/>
    <sheet name="Cálculos de escuadrado" sheetId="3" state="hidden" r:id="rId7"/>
    <sheet name="Descontos" sheetId="4" r:id="rId8"/>
    <sheet name="Escandallo" sheetId="11" r:id="rId9"/>
    <sheet name="Cálculos de medidas" sheetId="6" r:id="rId10"/>
    <sheet name="Características" sheetId="1" state="hidden" r:id="rId11"/>
  </sheets>
  <externalReferences>
    <externalReference r:id="rId12"/>
  </externalReferences>
  <definedNames>
    <definedName name="ANCHO">[1]M.TELA!$H$4</definedName>
    <definedName name="_xlnm.Print_Area" localSheetId="1">'Medidas Toldo 1'!$A$1:$I$23</definedName>
    <definedName name="_xlnm.Print_Area" localSheetId="2">'Medidas Toldo 2'!$A$1:$I$23</definedName>
    <definedName name="_xlnm.Print_Area" localSheetId="3">'Medidas Toldo 3'!$A$1:$I$23</definedName>
    <definedName name="_xlnm.Print_Area" localSheetId="4">'Medidas Toldo 4'!$A$1:$I$23</definedName>
    <definedName name="DatosExternos_1" localSheetId="5" hidden="1">'M TELAS'!$A$1:$E$377</definedName>
    <definedName name="FOTO">INDEX([1]IMAGENES!$A$2:$L$2,MATCH([1]TELA!$C$9,[1]IMAGENES!$A$1:$L$1,0))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5" l="1"/>
  <c r="F9" i="9"/>
  <c r="F9" i="8"/>
  <c r="F9" i="7"/>
  <c r="B80" i="11"/>
  <c r="B54" i="11"/>
  <c r="B28" i="11"/>
  <c r="B2" i="11"/>
  <c r="A80" i="11"/>
  <c r="A81" i="11"/>
  <c r="A54" i="11"/>
  <c r="A55" i="11"/>
  <c r="A28" i="11"/>
  <c r="A29" i="11"/>
  <c r="A2" i="11"/>
  <c r="A3" i="11"/>
  <c r="A83" i="11"/>
  <c r="C83" i="11" s="1"/>
  <c r="A84" i="11"/>
  <c r="C84" i="11" s="1"/>
  <c r="A85" i="11"/>
  <c r="C85" i="11" s="1"/>
  <c r="A86" i="11"/>
  <c r="C86" i="11" s="1"/>
  <c r="A87" i="11"/>
  <c r="C87" i="11" s="1"/>
  <c r="A88" i="11"/>
  <c r="C88" i="11" s="1"/>
  <c r="A89" i="11"/>
  <c r="C89" i="11" s="1"/>
  <c r="A90" i="11"/>
  <c r="C90" i="11" s="1"/>
  <c r="A91" i="11"/>
  <c r="C91" i="11" s="1"/>
  <c r="A92" i="11"/>
  <c r="C92" i="11" s="1"/>
  <c r="A93" i="11"/>
  <c r="C93" i="11" s="1"/>
  <c r="A94" i="11"/>
  <c r="C94" i="11" s="1"/>
  <c r="A95" i="11"/>
  <c r="C95" i="11" s="1"/>
  <c r="A96" i="11"/>
  <c r="C96" i="11" s="1"/>
  <c r="A97" i="11"/>
  <c r="C97" i="11" s="1"/>
  <c r="A98" i="11"/>
  <c r="C98" i="11" s="1"/>
  <c r="A99" i="11"/>
  <c r="C99" i="11" s="1"/>
  <c r="A100" i="11"/>
  <c r="C100" i="11" s="1"/>
  <c r="A101" i="11"/>
  <c r="C101" i="11" s="1"/>
  <c r="A102" i="11"/>
  <c r="C102" i="11" s="1"/>
  <c r="A103" i="11"/>
  <c r="C103" i="11" s="1"/>
  <c r="A82" i="11"/>
  <c r="C82" i="11" s="1"/>
  <c r="A57" i="11"/>
  <c r="C57" i="11" s="1"/>
  <c r="A58" i="11"/>
  <c r="C58" i="11" s="1"/>
  <c r="A59" i="11"/>
  <c r="C59" i="11" s="1"/>
  <c r="A60" i="11"/>
  <c r="C60" i="11" s="1"/>
  <c r="A61" i="11"/>
  <c r="C61" i="11" s="1"/>
  <c r="A62" i="11"/>
  <c r="C62" i="11" s="1"/>
  <c r="A63" i="11"/>
  <c r="C63" i="11" s="1"/>
  <c r="A64" i="11"/>
  <c r="C64" i="11" s="1"/>
  <c r="A65" i="11"/>
  <c r="C65" i="11" s="1"/>
  <c r="A66" i="11"/>
  <c r="C66" i="11" s="1"/>
  <c r="A67" i="11"/>
  <c r="C67" i="11" s="1"/>
  <c r="A68" i="11"/>
  <c r="C68" i="11" s="1"/>
  <c r="A69" i="11"/>
  <c r="C69" i="11" s="1"/>
  <c r="A70" i="11"/>
  <c r="C70" i="11" s="1"/>
  <c r="A71" i="11"/>
  <c r="C71" i="11" s="1"/>
  <c r="A72" i="11"/>
  <c r="C72" i="11" s="1"/>
  <c r="A73" i="11"/>
  <c r="C73" i="11" s="1"/>
  <c r="A74" i="11"/>
  <c r="C74" i="11" s="1"/>
  <c r="A75" i="11"/>
  <c r="C75" i="11" s="1"/>
  <c r="A76" i="11"/>
  <c r="C76" i="11" s="1"/>
  <c r="A77" i="11"/>
  <c r="C77" i="11" s="1"/>
  <c r="A56" i="11"/>
  <c r="C56" i="11" s="1"/>
  <c r="A31" i="11"/>
  <c r="C31" i="11" s="1"/>
  <c r="A32" i="11"/>
  <c r="C32" i="11" s="1"/>
  <c r="A33" i="11"/>
  <c r="C33" i="11" s="1"/>
  <c r="A34" i="11"/>
  <c r="C34" i="11" s="1"/>
  <c r="A35" i="11"/>
  <c r="C35" i="11" s="1"/>
  <c r="A36" i="11"/>
  <c r="C36" i="11" s="1"/>
  <c r="A37" i="11"/>
  <c r="C37" i="11" s="1"/>
  <c r="A38" i="11"/>
  <c r="C38" i="11" s="1"/>
  <c r="A39" i="11"/>
  <c r="C39" i="11" s="1"/>
  <c r="A40" i="11"/>
  <c r="C40" i="11" s="1"/>
  <c r="A41" i="11"/>
  <c r="C41" i="11" s="1"/>
  <c r="A42" i="11"/>
  <c r="C42" i="11" s="1"/>
  <c r="A43" i="11"/>
  <c r="C43" i="11" s="1"/>
  <c r="A44" i="11"/>
  <c r="C44" i="11" s="1"/>
  <c r="A45" i="11"/>
  <c r="C45" i="11" s="1"/>
  <c r="A46" i="11"/>
  <c r="C46" i="11" s="1"/>
  <c r="A47" i="11"/>
  <c r="C47" i="11" s="1"/>
  <c r="A48" i="11"/>
  <c r="C48" i="11" s="1"/>
  <c r="A49" i="11"/>
  <c r="C49" i="11" s="1"/>
  <c r="A50" i="11"/>
  <c r="C50" i="11" s="1"/>
  <c r="A51" i="11"/>
  <c r="C51" i="11" s="1"/>
  <c r="A30" i="11"/>
  <c r="C30" i="11" s="1"/>
  <c r="A5" i="11"/>
  <c r="C5" i="11" s="1"/>
  <c r="A6" i="11"/>
  <c r="C6" i="11" s="1"/>
  <c r="A7" i="11"/>
  <c r="C7" i="11" s="1"/>
  <c r="A8" i="11"/>
  <c r="C8" i="11" s="1"/>
  <c r="A9" i="11"/>
  <c r="C9" i="11" s="1"/>
  <c r="A10" i="11"/>
  <c r="C10" i="11" s="1"/>
  <c r="A11" i="11"/>
  <c r="C11" i="11" s="1"/>
  <c r="A12" i="11"/>
  <c r="C12" i="11" s="1"/>
  <c r="A13" i="11"/>
  <c r="C13" i="11" s="1"/>
  <c r="A14" i="11"/>
  <c r="C14" i="11" s="1"/>
  <c r="A15" i="11"/>
  <c r="C15" i="11" s="1"/>
  <c r="A16" i="11"/>
  <c r="C16" i="11" s="1"/>
  <c r="A17" i="11"/>
  <c r="C17" i="11" s="1"/>
  <c r="A18" i="11"/>
  <c r="C18" i="11" s="1"/>
  <c r="A19" i="11"/>
  <c r="C19" i="11" s="1"/>
  <c r="A20" i="11"/>
  <c r="C20" i="11" s="1"/>
  <c r="A21" i="11"/>
  <c r="C21" i="11" s="1"/>
  <c r="A22" i="11"/>
  <c r="C22" i="11" s="1"/>
  <c r="A23" i="11"/>
  <c r="C23" i="11" s="1"/>
  <c r="A24" i="11"/>
  <c r="C24" i="11" s="1"/>
  <c r="A25" i="11"/>
  <c r="C25" i="11" s="1"/>
  <c r="A4" i="11"/>
  <c r="C4" i="11" s="1"/>
  <c r="D2" i="9"/>
  <c r="D2" i="8"/>
  <c r="D2" i="7"/>
  <c r="D2" i="5"/>
  <c r="B6" i="9"/>
  <c r="B6" i="8"/>
  <c r="B6" i="7"/>
  <c r="H5" i="7"/>
  <c r="B6" i="5"/>
  <c r="H4" i="9"/>
  <c r="H4" i="8"/>
  <c r="H4" i="7"/>
  <c r="H4" i="5"/>
  <c r="H5" i="9"/>
  <c r="H5" i="8"/>
  <c r="H5" i="5"/>
  <c r="D5" i="9"/>
  <c r="D4" i="9"/>
  <c r="D3" i="9"/>
  <c r="G2" i="9"/>
  <c r="D5" i="8"/>
  <c r="D4" i="8"/>
  <c r="D3" i="8"/>
  <c r="G2" i="8"/>
  <c r="D5" i="7"/>
  <c r="D4" i="7"/>
  <c r="D3" i="7"/>
  <c r="G2" i="7"/>
  <c r="D5" i="5"/>
  <c r="D4" i="5"/>
  <c r="D3" i="5"/>
  <c r="G2" i="5"/>
  <c r="K16" i="3" l="1"/>
  <c r="K15" i="3"/>
  <c r="C16" i="3"/>
  <c r="E16" i="3" s="1"/>
  <c r="G16" i="3" s="1"/>
  <c r="I16" i="3" s="1"/>
  <c r="C15" i="3"/>
  <c r="E15" i="3" s="1"/>
  <c r="G15" i="3" s="1"/>
  <c r="H82" i="6" s="1"/>
  <c r="J82" i="6" s="1"/>
  <c r="F10" i="9" s="1"/>
  <c r="K12" i="3"/>
  <c r="K11" i="3"/>
  <c r="C12" i="3"/>
  <c r="E12" i="3" s="1"/>
  <c r="G12" i="3" s="1"/>
  <c r="I12" i="3" s="1"/>
  <c r="C11" i="3"/>
  <c r="E11" i="3" s="1"/>
  <c r="G11" i="3" s="1"/>
  <c r="H58" i="6" s="1"/>
  <c r="J58" i="6" s="1"/>
  <c r="F10" i="8" s="1"/>
  <c r="K8" i="3"/>
  <c r="K7" i="3"/>
  <c r="C8" i="3"/>
  <c r="E8" i="3" s="1"/>
  <c r="G8" i="3" s="1"/>
  <c r="I8" i="3" s="1"/>
  <c r="C7" i="3"/>
  <c r="E7" i="3" s="1"/>
  <c r="G7" i="3" s="1"/>
  <c r="H34" i="6" s="1"/>
  <c r="J34" i="6" s="1"/>
  <c r="F10" i="7" s="1"/>
  <c r="K4" i="3"/>
  <c r="K3" i="3"/>
  <c r="C4" i="3"/>
  <c r="E4" i="3" s="1"/>
  <c r="G4" i="3" s="1"/>
  <c r="I4" i="3" s="1"/>
  <c r="C3" i="3"/>
  <c r="E3" i="3" s="1"/>
  <c r="G3" i="3" s="1"/>
  <c r="D100" i="6"/>
  <c r="F100" i="6" s="1"/>
  <c r="J100" i="6" s="1"/>
  <c r="D98" i="6"/>
  <c r="D97" i="6"/>
  <c r="D96" i="6"/>
  <c r="H94" i="6"/>
  <c r="H90" i="6"/>
  <c r="D86" i="6"/>
  <c r="D85" i="6"/>
  <c r="D84" i="6"/>
  <c r="D83" i="6"/>
  <c r="D81" i="6"/>
  <c r="D76" i="6"/>
  <c r="F76" i="6" s="1"/>
  <c r="J76" i="6" s="1"/>
  <c r="D74" i="6"/>
  <c r="D73" i="6"/>
  <c r="D72" i="6"/>
  <c r="H70" i="6"/>
  <c r="H66" i="6"/>
  <c r="D62" i="6"/>
  <c r="D61" i="6"/>
  <c r="D60" i="6"/>
  <c r="D59" i="6"/>
  <c r="D57" i="6"/>
  <c r="D52" i="6"/>
  <c r="F52" i="6" s="1"/>
  <c r="J52" i="6" s="1"/>
  <c r="D50" i="6"/>
  <c r="D49" i="6"/>
  <c r="D48" i="6"/>
  <c r="H46" i="6"/>
  <c r="H42" i="6"/>
  <c r="D38" i="6"/>
  <c r="D37" i="6"/>
  <c r="D36" i="6"/>
  <c r="D35" i="6"/>
  <c r="D33" i="6"/>
  <c r="A6" i="6"/>
  <c r="A5" i="6"/>
  <c r="A4" i="6"/>
  <c r="A3" i="6"/>
  <c r="A2" i="6"/>
  <c r="H10" i="6" l="1"/>
  <c r="J10" i="6" s="1"/>
  <c r="F10" i="5" s="1"/>
  <c r="M4" i="3"/>
  <c r="C30" i="2" s="1"/>
  <c r="M8" i="3"/>
  <c r="G30" i="2" s="1"/>
  <c r="S3" i="3"/>
  <c r="I3" i="3"/>
  <c r="M3" i="3" s="1"/>
  <c r="M12" i="3"/>
  <c r="K30" i="2" s="1"/>
  <c r="I7" i="3"/>
  <c r="M7" i="3" s="1"/>
  <c r="S7" i="3"/>
  <c r="I11" i="3"/>
  <c r="M11" i="3" s="1"/>
  <c r="S11" i="3"/>
  <c r="I15" i="3"/>
  <c r="M15" i="3" s="1"/>
  <c r="O29" i="2" s="1"/>
  <c r="S15" i="3"/>
  <c r="M16" i="3"/>
  <c r="O30" i="2" s="1"/>
  <c r="O34" i="2" l="1"/>
  <c r="H83" i="6" s="1"/>
  <c r="C29" i="2"/>
  <c r="C34" i="2" s="1"/>
  <c r="W3" i="3"/>
  <c r="Q11" i="3"/>
  <c r="U11" i="3" s="1"/>
  <c r="K29" i="2"/>
  <c r="K34" i="2" s="1"/>
  <c r="Q7" i="3"/>
  <c r="U7" i="3" s="1"/>
  <c r="G29" i="2"/>
  <c r="G34" i="2" s="1"/>
  <c r="O11" i="3"/>
  <c r="O7" i="3"/>
  <c r="O15" i="3"/>
  <c r="O3" i="3"/>
  <c r="Q3" i="3"/>
  <c r="Q15" i="3"/>
  <c r="U15" i="3" s="1"/>
  <c r="H62" i="6" l="1"/>
  <c r="H59" i="6"/>
  <c r="H60" i="6"/>
  <c r="H61" i="6"/>
  <c r="H57" i="6"/>
  <c r="K37" i="2"/>
  <c r="K32" i="2"/>
  <c r="G37" i="2"/>
  <c r="G32" i="2"/>
  <c r="H35" i="6"/>
  <c r="H36" i="6"/>
  <c r="H37" i="6"/>
  <c r="H38" i="6"/>
  <c r="H33" i="6"/>
  <c r="H81" i="6"/>
  <c r="H86" i="6"/>
  <c r="H85" i="6"/>
  <c r="H84" i="6"/>
  <c r="O32" i="2"/>
  <c r="O37" i="2"/>
  <c r="H12" i="6"/>
  <c r="H13" i="6"/>
  <c r="H14" i="6"/>
  <c r="H11" i="6"/>
  <c r="H9" i="6"/>
  <c r="H22" i="6"/>
  <c r="H18" i="6"/>
  <c r="D11" i="6"/>
  <c r="D12" i="6"/>
  <c r="D13" i="6"/>
  <c r="D14" i="6"/>
  <c r="D24" i="6"/>
  <c r="D25" i="6"/>
  <c r="D26" i="6"/>
  <c r="D28" i="6"/>
  <c r="F28" i="6" s="1"/>
  <c r="D9" i="6"/>
  <c r="H93" i="6" l="1"/>
  <c r="H68" i="6"/>
  <c r="H44" i="6"/>
  <c r="H92" i="6"/>
  <c r="H69" i="6"/>
  <c r="H45" i="6"/>
  <c r="U3" i="3"/>
  <c r="H89" i="6"/>
  <c r="H65" i="6"/>
  <c r="H88" i="6"/>
  <c r="H64" i="6"/>
  <c r="H41" i="6"/>
  <c r="H40" i="6"/>
  <c r="H16" i="6"/>
  <c r="H17" i="6"/>
  <c r="C2" i="6"/>
  <c r="H20" i="6"/>
  <c r="H21" i="6"/>
  <c r="J28" i="6"/>
  <c r="C25" i="6" l="1"/>
  <c r="F25" i="6" s="1"/>
  <c r="J25" i="6" s="1"/>
  <c r="C44" i="6"/>
  <c r="F44" i="6" s="1"/>
  <c r="J44" i="6" s="1"/>
  <c r="H20" i="7" s="1"/>
  <c r="C42" i="6"/>
  <c r="F42" i="6" s="1"/>
  <c r="J42" i="6" s="1"/>
  <c r="F22" i="7" s="1"/>
  <c r="C94" i="6"/>
  <c r="F94" i="6" s="1"/>
  <c r="J94" i="6" s="1"/>
  <c r="H22" i="9" s="1"/>
  <c r="C41" i="6"/>
  <c r="F41" i="6" s="1"/>
  <c r="J41" i="6" s="1"/>
  <c r="F21" i="7" s="1"/>
  <c r="C40" i="6"/>
  <c r="F40" i="6" s="1"/>
  <c r="J40" i="6" s="1"/>
  <c r="F20" i="7" s="1"/>
  <c r="C96" i="6"/>
  <c r="F96" i="6" s="1"/>
  <c r="J96" i="6" s="1"/>
  <c r="C74" i="6"/>
  <c r="F74" i="6" s="1"/>
  <c r="J74" i="6" s="1"/>
  <c r="C73" i="6"/>
  <c r="F73" i="6" s="1"/>
  <c r="J73" i="6" s="1"/>
  <c r="C24" i="6"/>
  <c r="F24" i="6" s="1"/>
  <c r="J24" i="6" s="1"/>
  <c r="C70" i="6"/>
  <c r="F70" i="6" s="1"/>
  <c r="J70" i="6" s="1"/>
  <c r="H22" i="8" s="1"/>
  <c r="C69" i="6"/>
  <c r="F69" i="6" s="1"/>
  <c r="J69" i="6" s="1"/>
  <c r="H21" i="8" s="1"/>
  <c r="C68" i="6"/>
  <c r="F68" i="6" s="1"/>
  <c r="J68" i="6" s="1"/>
  <c r="H20" i="8" s="1"/>
  <c r="C66" i="6"/>
  <c r="F66" i="6" s="1"/>
  <c r="J66" i="6" s="1"/>
  <c r="F22" i="8" s="1"/>
  <c r="C65" i="6"/>
  <c r="F65" i="6" s="1"/>
  <c r="J65" i="6" s="1"/>
  <c r="F21" i="8" s="1"/>
  <c r="C49" i="6"/>
  <c r="F49" i="6" s="1"/>
  <c r="J49" i="6" s="1"/>
  <c r="C64" i="6"/>
  <c r="F64" i="6" s="1"/>
  <c r="J64" i="6" s="1"/>
  <c r="F20" i="8" s="1"/>
  <c r="C48" i="6"/>
  <c r="F48" i="6" s="1"/>
  <c r="J48" i="6" s="1"/>
  <c r="C93" i="6"/>
  <c r="F93" i="6" s="1"/>
  <c r="J93" i="6" s="1"/>
  <c r="H21" i="9" s="1"/>
  <c r="C92" i="6"/>
  <c r="F92" i="6" s="1"/>
  <c r="J92" i="6" s="1"/>
  <c r="H20" i="9" s="1"/>
  <c r="C90" i="6"/>
  <c r="F90" i="6" s="1"/>
  <c r="J90" i="6" s="1"/>
  <c r="F22" i="9" s="1"/>
  <c r="C98" i="6"/>
  <c r="F98" i="6" s="1"/>
  <c r="J98" i="6" s="1"/>
  <c r="C97" i="6"/>
  <c r="F97" i="6" s="1"/>
  <c r="J97" i="6" s="1"/>
  <c r="C88" i="6"/>
  <c r="F88" i="6" s="1"/>
  <c r="J88" i="6" s="1"/>
  <c r="F20" i="9" s="1"/>
  <c r="C89" i="6"/>
  <c r="F89" i="6" s="1"/>
  <c r="J89" i="6" s="1"/>
  <c r="F21" i="9" s="1"/>
  <c r="C26" i="6"/>
  <c r="F26" i="6" s="1"/>
  <c r="J26" i="6" s="1"/>
  <c r="C45" i="6"/>
  <c r="F45" i="6" s="1"/>
  <c r="J45" i="6" s="1"/>
  <c r="H21" i="7" s="1"/>
  <c r="C72" i="6"/>
  <c r="F72" i="6" s="1"/>
  <c r="J72" i="6" s="1"/>
  <c r="C50" i="6"/>
  <c r="F50" i="6" s="1"/>
  <c r="J50" i="6" s="1"/>
  <c r="C46" i="6"/>
  <c r="F46" i="6" s="1"/>
  <c r="J46" i="6" s="1"/>
  <c r="H22" i="7" s="1"/>
  <c r="C37" i="2"/>
  <c r="C32" i="2"/>
  <c r="C18" i="6"/>
  <c r="F18" i="6" s="1"/>
  <c r="J18" i="6" s="1"/>
  <c r="C22" i="6"/>
  <c r="F22" i="6" s="1"/>
  <c r="J22" i="6" s="1"/>
  <c r="C21" i="6"/>
  <c r="F21" i="6" s="1"/>
  <c r="J21" i="6" s="1"/>
  <c r="H21" i="5" s="1"/>
  <c r="C20" i="6"/>
  <c r="F20" i="6" s="1"/>
  <c r="J20" i="6" s="1"/>
  <c r="H20" i="5" s="1"/>
  <c r="C16" i="6"/>
  <c r="F16" i="6" s="1"/>
  <c r="J16" i="6" s="1"/>
  <c r="F20" i="5" s="1"/>
  <c r="C17" i="6"/>
  <c r="F17" i="6" s="1"/>
  <c r="J17" i="6" s="1"/>
  <c r="F21" i="5" s="1"/>
  <c r="E12" i="2"/>
  <c r="C83" i="6"/>
  <c r="F83" i="6" s="1"/>
  <c r="J83" i="6" s="1"/>
  <c r="F13" i="9" s="1"/>
  <c r="C37" i="6"/>
  <c r="F37" i="6" s="1"/>
  <c r="J37" i="6" s="1"/>
  <c r="F15" i="7" s="1"/>
  <c r="C62" i="6"/>
  <c r="F62" i="6" s="1"/>
  <c r="J62" i="6" s="1"/>
  <c r="F16" i="8" s="1"/>
  <c r="C81" i="6"/>
  <c r="F81" i="6" s="1"/>
  <c r="J81" i="6" s="1"/>
  <c r="C61" i="6"/>
  <c r="F61" i="6" s="1"/>
  <c r="J61" i="6" s="1"/>
  <c r="F15" i="8" s="1"/>
  <c r="C36" i="6"/>
  <c r="F36" i="6" s="1"/>
  <c r="J36" i="6" s="1"/>
  <c r="F14" i="7" s="1"/>
  <c r="C35" i="6"/>
  <c r="F35" i="6" s="1"/>
  <c r="J35" i="6" s="1"/>
  <c r="F13" i="7" s="1"/>
  <c r="C59" i="6"/>
  <c r="F59" i="6" s="1"/>
  <c r="J59" i="6" s="1"/>
  <c r="F13" i="8" s="1"/>
  <c r="C33" i="6"/>
  <c r="F33" i="6" s="1"/>
  <c r="J33" i="6" s="1"/>
  <c r="C84" i="6"/>
  <c r="F84" i="6" s="1"/>
  <c r="J84" i="6" s="1"/>
  <c r="F14" i="9" s="1"/>
  <c r="C57" i="6"/>
  <c r="F57" i="6" s="1"/>
  <c r="J57" i="6" s="1"/>
  <c r="C38" i="6"/>
  <c r="F38" i="6" s="1"/>
  <c r="J38" i="6" s="1"/>
  <c r="F16" i="7" s="1"/>
  <c r="C86" i="6"/>
  <c r="F86" i="6" s="1"/>
  <c r="J86" i="6" s="1"/>
  <c r="F16" i="9" s="1"/>
  <c r="C60" i="6"/>
  <c r="F60" i="6" s="1"/>
  <c r="J60" i="6" s="1"/>
  <c r="F14" i="8" s="1"/>
  <c r="C85" i="6"/>
  <c r="F85" i="6" s="1"/>
  <c r="J85" i="6" s="1"/>
  <c r="F15" i="9" s="1"/>
  <c r="C14" i="6"/>
  <c r="F14" i="6" s="1"/>
  <c r="J14" i="6" s="1"/>
  <c r="F16" i="5" s="1"/>
  <c r="C13" i="6"/>
  <c r="F13" i="6" s="1"/>
  <c r="J13" i="6" s="1"/>
  <c r="F15" i="5" s="1"/>
  <c r="C9" i="6"/>
  <c r="F9" i="6" s="1"/>
  <c r="J9" i="6" s="1"/>
  <c r="O15" i="1" s="1" a="1"/>
  <c r="O15" i="1" s="1"/>
  <c r="F11" i="5" s="1"/>
  <c r="G9" i="5" s="1"/>
  <c r="C2" i="11" s="1"/>
  <c r="C11" i="6"/>
  <c r="F11" i="6" s="1"/>
  <c r="J11" i="6" s="1"/>
  <c r="F13" i="5" s="1"/>
  <c r="C12" i="6"/>
  <c r="F12" i="6" s="1"/>
  <c r="J12" i="6" s="1"/>
  <c r="F14" i="5" s="1"/>
  <c r="O18" i="1" l="1" a="1"/>
  <c r="O18" i="1" s="1"/>
  <c r="F11" i="9" s="1"/>
  <c r="G9" i="9" s="1"/>
  <c r="O17" i="1" a="1"/>
  <c r="O17" i="1" s="1"/>
  <c r="F11" i="8" s="1"/>
  <c r="G9" i="8" s="1"/>
  <c r="O16" i="1" a="1"/>
  <c r="O16" i="1" s="1"/>
  <c r="F11" i="7" s="1"/>
  <c r="G9" i="7" s="1"/>
  <c r="C28" i="11" s="1"/>
  <c r="F22" i="5"/>
  <c r="H22" i="5"/>
  <c r="C80" i="11" l="1"/>
  <c r="C54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591CBE-1882-4B0D-AF73-347823EB27F9}" keepAlive="1" name="Consulta - M TELAS" description="Conexión a la consulta 'M TELAS' en el libro." type="5" refreshedVersion="8" background="1" refreshOnLoad="1" saveData="1">
    <dbPr connection="Provider=Microsoft.Mashup.OleDb.1;Data Source=$Workbook$;Location=&quot;M TELAS&quot;;Extended Properties=&quot;&quot;" command="SELECT * FROM [M TELAS]"/>
  </connection>
</connections>
</file>

<file path=xl/sharedStrings.xml><?xml version="1.0" encoding="utf-8"?>
<sst xmlns="http://schemas.openxmlformats.org/spreadsheetml/2006/main" count="1897" uniqueCount="1105">
  <si>
    <t>Modelo de toldo</t>
  </si>
  <si>
    <t>Lleva cofre</t>
  </si>
  <si>
    <t>SI</t>
  </si>
  <si>
    <t>NO</t>
  </si>
  <si>
    <t>Guía</t>
  </si>
  <si>
    <t>Pequeña</t>
  </si>
  <si>
    <t>Mecanismo</t>
  </si>
  <si>
    <t>Máquina</t>
  </si>
  <si>
    <t>Motor</t>
  </si>
  <si>
    <t>Pedido</t>
  </si>
  <si>
    <t>Cliente</t>
  </si>
  <si>
    <t>Técnico</t>
  </si>
  <si>
    <t>Fecha</t>
  </si>
  <si>
    <t>Revisión</t>
  </si>
  <si>
    <t>Unidades totales</t>
  </si>
  <si>
    <t>Tela</t>
  </si>
  <si>
    <t>Cristal</t>
  </si>
  <si>
    <t>Lacado (estructura)</t>
  </si>
  <si>
    <t>Modelo</t>
  </si>
  <si>
    <t>Cofre</t>
  </si>
  <si>
    <t>Guía compensadora</t>
  </si>
  <si>
    <t>Frente superior</t>
  </si>
  <si>
    <t>Frente inferior</t>
  </si>
  <si>
    <t>Saída esquerda</t>
  </si>
  <si>
    <t>Saida dereita</t>
  </si>
  <si>
    <t>Diagonal 1</t>
  </si>
  <si>
    <t>Diagonal 2</t>
  </si>
  <si>
    <t>Entre paredes</t>
  </si>
  <si>
    <t>Triángulo 1:</t>
  </si>
  <si>
    <t>Semiperímetro</t>
  </si>
  <si>
    <t>Área</t>
  </si>
  <si>
    <t>Altura</t>
  </si>
  <si>
    <t>Triángulo 2:</t>
  </si>
  <si>
    <t>Holgura</t>
  </si>
  <si>
    <t>Desfase</t>
  </si>
  <si>
    <t>Sin guía</t>
  </si>
  <si>
    <t>Guía pequena</t>
  </si>
  <si>
    <t>Sin cofre</t>
  </si>
  <si>
    <t>Frente</t>
  </si>
  <si>
    <t>Caída</t>
  </si>
  <si>
    <t>Tubo enrolle</t>
  </si>
  <si>
    <t>Tubo carga</t>
  </si>
  <si>
    <t>Lastre</t>
  </si>
  <si>
    <t>Terminal de caída</t>
  </si>
  <si>
    <t>Tubo enrollador</t>
  </si>
  <si>
    <t>Telón</t>
  </si>
  <si>
    <t>Cofre y tapa</t>
  </si>
  <si>
    <t>Módulo simple</t>
  </si>
  <si>
    <t>x</t>
  </si>
  <si>
    <t>Perfil de guía pared</t>
  </si>
  <si>
    <t>Perfil de guía techo</t>
  </si>
  <si>
    <t>Terminal compensador</t>
  </si>
  <si>
    <t>Guía (Con SWBS)</t>
  </si>
  <si>
    <t>Guía compensación pared</t>
  </si>
  <si>
    <t>Guía compensación techo</t>
  </si>
  <si>
    <t>Perfil guía interior ZIP Pared</t>
  </si>
  <si>
    <t>Perfil guía interior ZIP Techo</t>
  </si>
  <si>
    <t>Guía (sin SWBS)</t>
  </si>
  <si>
    <t>Nomenclatura BAT</t>
  </si>
  <si>
    <t>Nomenclatura TGM</t>
  </si>
  <si>
    <t>MFI</t>
  </si>
  <si>
    <t>MFD</t>
  </si>
  <si>
    <t>SWBS</t>
  </si>
  <si>
    <t>Manual</t>
  </si>
  <si>
    <t>Desconto total</t>
  </si>
  <si>
    <t>Medida definitiva</t>
  </si>
  <si>
    <t>Medida hueco</t>
  </si>
  <si>
    <t>00000</t>
  </si>
  <si>
    <t>00010</t>
  </si>
  <si>
    <t>00110</t>
  </si>
  <si>
    <t>00200</t>
  </si>
  <si>
    <t>00210</t>
  </si>
  <si>
    <t>00201</t>
  </si>
  <si>
    <t>00211</t>
  </si>
  <si>
    <t>01000</t>
  </si>
  <si>
    <t>01010</t>
  </si>
  <si>
    <t>Código modelo:</t>
  </si>
  <si>
    <t>10000</t>
  </si>
  <si>
    <t>10010</t>
  </si>
  <si>
    <t>10110</t>
  </si>
  <si>
    <t>11000</t>
  </si>
  <si>
    <t>11010</t>
  </si>
  <si>
    <t>10001</t>
  </si>
  <si>
    <t>10011</t>
  </si>
  <si>
    <t>Guía pequena sin SWBS</t>
  </si>
  <si>
    <t>Normal</t>
  </si>
  <si>
    <t>Hai unha anotación na captura de"non descontar"?</t>
  </si>
  <si>
    <t>Sin guía, CON SWBS</t>
  </si>
  <si>
    <t>10100-Sen uso</t>
  </si>
  <si>
    <t>Guía pequena CON SWBS</t>
  </si>
  <si>
    <t>Sen guía</t>
  </si>
  <si>
    <t>10101-Sen uso</t>
  </si>
  <si>
    <t>10111</t>
  </si>
  <si>
    <t>10200-Sen uso</t>
  </si>
  <si>
    <t>10210-Sen uso</t>
  </si>
  <si>
    <t>DATOS DEL PEDIDO</t>
  </si>
  <si>
    <t>MATERIAL</t>
  </si>
  <si>
    <t>TOLDO 1</t>
  </si>
  <si>
    <t>TOLDO 2</t>
  </si>
  <si>
    <t>TOLDO 3</t>
  </si>
  <si>
    <t>TOLDO 4</t>
  </si>
  <si>
    <t>MODELO</t>
  </si>
  <si>
    <t>Verificaicón</t>
  </si>
  <si>
    <t>Cálculo do escuadro</t>
  </si>
  <si>
    <t>Dif alturas</t>
  </si>
  <si>
    <t>Frente medido</t>
  </si>
  <si>
    <t>Sep. alturas</t>
  </si>
  <si>
    <t>Dir holgura</t>
  </si>
  <si>
    <t>Desconto frente</t>
  </si>
  <si>
    <t>Erro na medida</t>
  </si>
  <si>
    <t>Dereita</t>
  </si>
  <si>
    <t>Esquerda</t>
  </si>
  <si>
    <t>Hueco</t>
  </si>
  <si>
    <t>20010</t>
  </si>
  <si>
    <t>TELA</t>
  </si>
  <si>
    <t>Salida</t>
  </si>
  <si>
    <t>Fecha fabric</t>
  </si>
  <si>
    <t>COFRE</t>
  </si>
  <si>
    <t>GUÍAS</t>
  </si>
  <si>
    <t>Frente toldo:</t>
  </si>
  <si>
    <t>00100-Non existe</t>
  </si>
  <si>
    <t>Medidas cristal</t>
  </si>
  <si>
    <t>Cristal Toldo 1</t>
  </si>
  <si>
    <t>Cristal Toldo 2</t>
  </si>
  <si>
    <t>Cristal Toldo 3</t>
  </si>
  <si>
    <t>Cristal Toldo 4</t>
  </si>
  <si>
    <t xml:space="preserve"> </t>
  </si>
  <si>
    <t>REFERENCIA</t>
  </si>
  <si>
    <t>DESCRIPCION</t>
  </si>
  <si>
    <t>ANCHO</t>
  </si>
  <si>
    <t>COLOR</t>
  </si>
  <si>
    <t>ACRILI2427P120</t>
  </si>
  <si>
    <t>ACR ACQUAMARINA</t>
  </si>
  <si>
    <t xml:space="preserve">ACR </t>
  </si>
  <si>
    <t xml:space="preserve">ACQUAMARINA </t>
  </si>
  <si>
    <t>ACRILI2807P120</t>
  </si>
  <si>
    <t>ACR ACUARIO</t>
  </si>
  <si>
    <t xml:space="preserve"> ACUARIO </t>
  </si>
  <si>
    <t>ACRILI2051P120</t>
  </si>
  <si>
    <t>ACR ADMIRAL</t>
  </si>
  <si>
    <t>ACR</t>
  </si>
  <si>
    <t>ADMIRAL</t>
  </si>
  <si>
    <t>ACRILI2051P153</t>
  </si>
  <si>
    <t>ACRILI3012P120</t>
  </si>
  <si>
    <t>ACR AFRICA</t>
  </si>
  <si>
    <t xml:space="preserve"> AFRICA </t>
  </si>
  <si>
    <t>ACRILI2562P120</t>
  </si>
  <si>
    <t>ACR ALABAMA</t>
  </si>
  <si>
    <t xml:space="preserve">ALABAMA </t>
  </si>
  <si>
    <t>ACRILI8157P120</t>
  </si>
  <si>
    <t>ACR ALABASTRO</t>
  </si>
  <si>
    <t xml:space="preserve"> ALABASTRO </t>
  </si>
  <si>
    <t>ACRILI1472P120</t>
  </si>
  <si>
    <t>ACR ALAMO</t>
  </si>
  <si>
    <t xml:space="preserve">ALAMO </t>
  </si>
  <si>
    <t>ACRILI2819P120</t>
  </si>
  <si>
    <t>ACR ALOE</t>
  </si>
  <si>
    <t xml:space="preserve"> ALOE </t>
  </si>
  <si>
    <t>ACRILI2031P120</t>
  </si>
  <si>
    <t>ACR ALSACIA</t>
  </si>
  <si>
    <t xml:space="preserve">ALSACIA </t>
  </si>
  <si>
    <t>ACRILI2013P120</t>
  </si>
  <si>
    <t>ACR AMARILLO</t>
  </si>
  <si>
    <t xml:space="preserve">AMARILLO  </t>
  </si>
  <si>
    <t>ACRILI2015P120</t>
  </si>
  <si>
    <t>ACR AMARILLO N</t>
  </si>
  <si>
    <t xml:space="preserve">AMARILLO N </t>
  </si>
  <si>
    <t>ACRILI3606P120</t>
  </si>
  <si>
    <t>ACR AMBAR</t>
  </si>
  <si>
    <t xml:space="preserve"> AMBAR </t>
  </si>
  <si>
    <t>ACRILI2640P120</t>
  </si>
  <si>
    <t>ACR ANAPURNA</t>
  </si>
  <si>
    <t xml:space="preserve">ANAPURNA </t>
  </si>
  <si>
    <t>ACRILI2012P120</t>
  </si>
  <si>
    <t>ACR ANETO</t>
  </si>
  <si>
    <t xml:space="preserve">ANETO </t>
  </si>
  <si>
    <t>ACRILI2024P120</t>
  </si>
  <si>
    <t>ACR ANIS</t>
  </si>
  <si>
    <t xml:space="preserve">ANIS </t>
  </si>
  <si>
    <t>ACRILI8488P120</t>
  </si>
  <si>
    <t>ACR ANTRACITA</t>
  </si>
  <si>
    <t xml:space="preserve"> ANTRACITA </t>
  </si>
  <si>
    <t>ACRILI1480P120</t>
  </si>
  <si>
    <t>ACR APRICOT</t>
  </si>
  <si>
    <t xml:space="preserve">APRICOT </t>
  </si>
  <si>
    <t>ACRILI2274P120</t>
  </si>
  <si>
    <t>ACR ARENA</t>
  </si>
  <si>
    <t xml:space="preserve">ARENA </t>
  </si>
  <si>
    <t>ACRILI2576P120</t>
  </si>
  <si>
    <t>ACR ARIES</t>
  </si>
  <si>
    <t xml:space="preserve">ARIES </t>
  </si>
  <si>
    <t>ACRILI2005P120</t>
  </si>
  <si>
    <t>ACR ARIZONA</t>
  </si>
  <si>
    <t>ARIZONA</t>
  </si>
  <si>
    <t>ACRILI2296P120</t>
  </si>
  <si>
    <t>ACR AVENA</t>
  </si>
  <si>
    <t xml:space="preserve">AVENA </t>
  </si>
  <si>
    <t>ACRILI2825P120</t>
  </si>
  <si>
    <t>ACR AZAFRAN</t>
  </si>
  <si>
    <t xml:space="preserve"> AZAFRAN </t>
  </si>
  <si>
    <t>ACRILI2018P120</t>
  </si>
  <si>
    <t>ACR AZUL</t>
  </si>
  <si>
    <t xml:space="preserve">AZUL </t>
  </si>
  <si>
    <t>ACRDOC063P120</t>
  </si>
  <si>
    <t>ACR AZUL DOCRIL</t>
  </si>
  <si>
    <t>ACRILICO</t>
  </si>
  <si>
    <t>ACRILI2019P120</t>
  </si>
  <si>
    <t>ACR AZUL N</t>
  </si>
  <si>
    <t>AZUL N</t>
  </si>
  <si>
    <t>ACRILI2235P120</t>
  </si>
  <si>
    <t>ACR AZUL REAL</t>
  </si>
  <si>
    <t xml:space="preserve">AZUL REAL </t>
  </si>
  <si>
    <t>ACRILI2020P120</t>
  </si>
  <si>
    <t>ACR AZUL X</t>
  </si>
  <si>
    <t xml:space="preserve">AZUL X </t>
  </si>
  <si>
    <t>ACRILI2700P120</t>
  </si>
  <si>
    <t>ACR BAHAMAS</t>
  </si>
  <si>
    <t xml:space="preserve">BAHAMAS </t>
  </si>
  <si>
    <t>ACRILI1075P120</t>
  </si>
  <si>
    <t>ACR BAMBU</t>
  </si>
  <si>
    <t xml:space="preserve">BAMBU </t>
  </si>
  <si>
    <t>ACRILI2327P120</t>
  </si>
  <si>
    <t>ACR BASALTO</t>
  </si>
  <si>
    <t xml:space="preserve">BASALTO </t>
  </si>
  <si>
    <t>ACRILI2038P120</t>
  </si>
  <si>
    <t>ACR BEIGE</t>
  </si>
  <si>
    <t xml:space="preserve">BEIGE </t>
  </si>
  <si>
    <t>ACRILI2275P120</t>
  </si>
  <si>
    <t>ACR BEIGE X</t>
  </si>
  <si>
    <t>BEIGE X</t>
  </si>
  <si>
    <t>ACRILI2572P120</t>
  </si>
  <si>
    <t>ACR BERLIN</t>
  </si>
  <si>
    <t xml:space="preserve">BERLIN </t>
  </si>
  <si>
    <t>ACRILI2041P120</t>
  </si>
  <si>
    <t>ACR BERNA</t>
  </si>
  <si>
    <t xml:space="preserve">BERNA </t>
  </si>
  <si>
    <t>ACRILI1488P120</t>
  </si>
  <si>
    <t>ACR BERRY</t>
  </si>
  <si>
    <t xml:space="preserve">BERRY </t>
  </si>
  <si>
    <t>ACRILI2042P120</t>
  </si>
  <si>
    <t>ACR BLANCO</t>
  </si>
  <si>
    <t xml:space="preserve">BLANCO </t>
  </si>
  <si>
    <t>ACRILI2042P240</t>
  </si>
  <si>
    <t>ACR BLANCO AN:240 CM</t>
  </si>
  <si>
    <t>ACRILI2245P120</t>
  </si>
  <si>
    <t>ACR BOTELLA</t>
  </si>
  <si>
    <t xml:space="preserve">BOTELLA </t>
  </si>
  <si>
    <t>ACRILI2680P120</t>
  </si>
  <si>
    <t>ACR BOTELLA N 2680</t>
  </si>
  <si>
    <t>BOTELLA N 2680</t>
  </si>
  <si>
    <t>ACRILI2209P120</t>
  </si>
  <si>
    <t>ACR BRASSERIE</t>
  </si>
  <si>
    <t xml:space="preserve">BRASSERIE </t>
  </si>
  <si>
    <t>ACRILI2777P120</t>
  </si>
  <si>
    <t>ACR BRISA</t>
  </si>
  <si>
    <t xml:space="preserve">BRISA </t>
  </si>
  <si>
    <t>ACRILI2046P120</t>
  </si>
  <si>
    <t>ACR BRISTOL</t>
  </si>
  <si>
    <t xml:space="preserve">BRISTOL </t>
  </si>
  <si>
    <t>ACRILI2090P120</t>
  </si>
  <si>
    <t>ACR BRONCE</t>
  </si>
  <si>
    <t xml:space="preserve">BRONCE </t>
  </si>
  <si>
    <t>ACRILI1471P120</t>
  </si>
  <si>
    <t>ACR CACTUS</t>
  </si>
  <si>
    <t xml:space="preserve">CACTUS </t>
  </si>
  <si>
    <t>ACRILI2316P120</t>
  </si>
  <si>
    <t>ACR CAFÉ</t>
  </si>
  <si>
    <t xml:space="preserve">CAFE </t>
  </si>
  <si>
    <t>ACRILI2060P120</t>
  </si>
  <si>
    <t>ACR CALIFORNIA</t>
  </si>
  <si>
    <t xml:space="preserve">CALIFORNIA </t>
  </si>
  <si>
    <t>ACRILI2061P120</t>
  </si>
  <si>
    <t>ACR CANADA</t>
  </si>
  <si>
    <t xml:space="preserve">CANADA </t>
  </si>
  <si>
    <t>ACRILI2022P120</t>
  </si>
  <si>
    <t>ACR CARAMEL</t>
  </si>
  <si>
    <t xml:space="preserve">CARAMEL </t>
  </si>
  <si>
    <t>ACRILI1060P120</t>
  </si>
  <si>
    <t>ACR CARBON</t>
  </si>
  <si>
    <t xml:space="preserve">CARBON </t>
  </si>
  <si>
    <t>ACRILI2066P120</t>
  </si>
  <si>
    <t>ACR CELESTE</t>
  </si>
  <si>
    <t>CELESTE</t>
  </si>
  <si>
    <t>ACRILI1468P120</t>
  </si>
  <si>
    <t>ACR CEREAL</t>
  </si>
  <si>
    <t xml:space="preserve">CEREAL </t>
  </si>
  <si>
    <t>ACRILI2826P120</t>
  </si>
  <si>
    <t>ACR CHAMPAGNE</t>
  </si>
  <si>
    <t xml:space="preserve"> CHAMPAGNE </t>
  </si>
  <si>
    <t>ACRILI1065P120</t>
  </si>
  <si>
    <t>ACR CHERRY</t>
  </si>
  <si>
    <t xml:space="preserve">CHERRY </t>
  </si>
  <si>
    <t>ACRILI1481P120</t>
  </si>
  <si>
    <t>ACR CHOCOLAT</t>
  </si>
  <si>
    <t xml:space="preserve">CHOCOLAT </t>
  </si>
  <si>
    <t>ACRILI1068P120</t>
  </si>
  <si>
    <t>ACR COAL</t>
  </si>
  <si>
    <t xml:space="preserve">COAL </t>
  </si>
  <si>
    <t>ACRILI3601P120</t>
  </si>
  <si>
    <t>ACR COCO</t>
  </si>
  <si>
    <t xml:space="preserve"> COCO </t>
  </si>
  <si>
    <t>ACRILI2068P120</t>
  </si>
  <si>
    <t>ACR COLORADO</t>
  </si>
  <si>
    <t xml:space="preserve">COLORADO </t>
  </si>
  <si>
    <t>ACRILI1079P120</t>
  </si>
  <si>
    <t>ACR COMMODORE</t>
  </si>
  <si>
    <t xml:space="preserve">COMMODORE </t>
  </si>
  <si>
    <t>ACRILI2025P120</t>
  </si>
  <si>
    <t>ACR CONFETTI</t>
  </si>
  <si>
    <t>CONFETTI</t>
  </si>
  <si>
    <t>ACRILI2815P120</t>
  </si>
  <si>
    <t>ACR COPENHAGUE</t>
  </si>
  <si>
    <t xml:space="preserve"> COPENHAGUE </t>
  </si>
  <si>
    <t>ACRILI3019P120</t>
  </si>
  <si>
    <t>ACR COSMOS</t>
  </si>
  <si>
    <t xml:space="preserve"> COSMOS </t>
  </si>
  <si>
    <t>ACRILI2322P120</t>
  </si>
  <si>
    <t>ACR CREMA</t>
  </si>
  <si>
    <t xml:space="preserve">CREMA </t>
  </si>
  <si>
    <t>ACRILI2080P120</t>
  </si>
  <si>
    <t>ACR DAKAR</t>
  </si>
  <si>
    <t xml:space="preserve">DAKAR </t>
  </si>
  <si>
    <t>ACRILI2083P120</t>
  </si>
  <si>
    <t>ACR DALLAS</t>
  </si>
  <si>
    <t xml:space="preserve">DALLAS </t>
  </si>
  <si>
    <t>ACRILI2008P120</t>
  </si>
  <si>
    <t>ACR DERBY</t>
  </si>
  <si>
    <t xml:space="preserve">DERBY </t>
  </si>
  <si>
    <t>ACRDOC001P120</t>
  </si>
  <si>
    <t>ACR DOCRIL BLANCO 001</t>
  </si>
  <si>
    <t>DOCRIL BLANCO</t>
  </si>
  <si>
    <t>ACRILI2802P120</t>
  </si>
  <si>
    <t>ACR DUBAI</t>
  </si>
  <si>
    <t xml:space="preserve">DUBAI </t>
  </si>
  <si>
    <t>ACRILI3607P120</t>
  </si>
  <si>
    <t>ACR DUNA</t>
  </si>
  <si>
    <t xml:space="preserve"> DUNA </t>
  </si>
  <si>
    <t>ACRILI2091P120</t>
  </si>
  <si>
    <t>ACR ESMERALDA</t>
  </si>
  <si>
    <t xml:space="preserve">ESMERALDA </t>
  </si>
  <si>
    <t>ACRILI2816P120</t>
  </si>
  <si>
    <t>ACR ESTOCOLMO</t>
  </si>
  <si>
    <t>ESTOCOLMO</t>
  </si>
  <si>
    <t>ACRILI3000EP120</t>
  </si>
  <si>
    <t>ACR EUCALIPTO</t>
  </si>
  <si>
    <t>EUCALIPTO</t>
  </si>
  <si>
    <t>ACRILI2125P120</t>
  </si>
  <si>
    <t>ACR EVEREST</t>
  </si>
  <si>
    <t>EVEREST</t>
  </si>
  <si>
    <t>ACRILI2804P120</t>
  </si>
  <si>
    <t xml:space="preserve">ACR FLORIDA </t>
  </si>
  <si>
    <t xml:space="preserve">FLORIDA </t>
  </si>
  <si>
    <t>ACRILI2570P120</t>
  </si>
  <si>
    <t>ACR FRANKFURT</t>
  </si>
  <si>
    <t>FRANKFURT</t>
  </si>
  <si>
    <t>ACRILI2097P120</t>
  </si>
  <si>
    <t>ACR FRESH</t>
  </si>
  <si>
    <t xml:space="preserve">FRESH </t>
  </si>
  <si>
    <t>ACRILI1473P120</t>
  </si>
  <si>
    <t>ACR GENERAT.RED</t>
  </si>
  <si>
    <t xml:space="preserve">GENERAT.RED </t>
  </si>
  <si>
    <t>ACRILI2563P120</t>
  </si>
  <si>
    <t>ACR GEORGIA</t>
  </si>
  <si>
    <t xml:space="preserve">GEORGIA </t>
  </si>
  <si>
    <t>ACRILI3603120C</t>
  </si>
  <si>
    <t>ACR GOBI</t>
  </si>
  <si>
    <t xml:space="preserve"> GOBI</t>
  </si>
  <si>
    <t>ACRILI3602P120</t>
  </si>
  <si>
    <t>ACR GRAFITO</t>
  </si>
  <si>
    <t xml:space="preserve"> GRAFITO </t>
  </si>
  <si>
    <t>ACRILI2101P120</t>
  </si>
  <si>
    <t>ACR GRANATE</t>
  </si>
  <si>
    <t xml:space="preserve">GRANATE </t>
  </si>
  <si>
    <t>ACRILI1067P120</t>
  </si>
  <si>
    <t>ACR GRAPE</t>
  </si>
  <si>
    <t xml:space="preserve">GRAPE </t>
  </si>
  <si>
    <t>ACRILI2102P120</t>
  </si>
  <si>
    <t>ACR GRIS</t>
  </si>
  <si>
    <t xml:space="preserve">GRIS </t>
  </si>
  <si>
    <t>ACRILI2817P120</t>
  </si>
  <si>
    <t>ACR HELSINKI</t>
  </si>
  <si>
    <t xml:space="preserve"> HELSINKI </t>
  </si>
  <si>
    <t>ACRILI1072P120</t>
  </si>
  <si>
    <t>ACR HORMIGON</t>
  </si>
  <si>
    <t xml:space="preserve">HORMIGON </t>
  </si>
  <si>
    <t>ACRILI2828P120</t>
  </si>
  <si>
    <t>ACR INDIGO</t>
  </si>
  <si>
    <t xml:space="preserve"> INDIGO </t>
  </si>
  <si>
    <t>ACRILI2238P120</t>
  </si>
  <si>
    <t>ACR INTEGRAL</t>
  </si>
  <si>
    <t xml:space="preserve">INTEGRAL </t>
  </si>
  <si>
    <t>ACRILI2581P120</t>
  </si>
  <si>
    <t>ACR ITACA</t>
  </si>
  <si>
    <t xml:space="preserve">ITACA </t>
  </si>
  <si>
    <t>ACRILI2892P120</t>
  </si>
  <si>
    <t>ACR JADE</t>
  </si>
  <si>
    <t>JADE</t>
  </si>
  <si>
    <t>ACRILI2701P120</t>
  </si>
  <si>
    <t>ACR JAMAICA</t>
  </si>
  <si>
    <t xml:space="preserve">JAMAICA </t>
  </si>
  <si>
    <t>ACRILI2925P120</t>
  </si>
  <si>
    <t>ACR KANSAS</t>
  </si>
  <si>
    <t xml:space="preserve"> KANSAS </t>
  </si>
  <si>
    <t>ACRILI2824P120</t>
  </si>
  <si>
    <t>ACR KARNAK</t>
  </si>
  <si>
    <t xml:space="preserve"> KARNAK </t>
  </si>
  <si>
    <t>ACRILI1063P120</t>
  </si>
  <si>
    <t>ACR LAGOON</t>
  </si>
  <si>
    <t xml:space="preserve">LAGOON </t>
  </si>
  <si>
    <t>ACRILI1076P120</t>
  </si>
  <si>
    <t>ACR LAVA</t>
  </si>
  <si>
    <t>LAVA</t>
  </si>
  <si>
    <t>ACRILI8785P120</t>
  </si>
  <si>
    <t>ACR LAVANDA</t>
  </si>
  <si>
    <t xml:space="preserve"> LAVANDA </t>
  </si>
  <si>
    <t>ACRILI2575P120</t>
  </si>
  <si>
    <t>ACR LEO</t>
  </si>
  <si>
    <t xml:space="preserve">LEO </t>
  </si>
  <si>
    <t>ACRILI2809P120</t>
  </si>
  <si>
    <t>ACR LIBRA</t>
  </si>
  <si>
    <t xml:space="preserve"> LIBRA </t>
  </si>
  <si>
    <t>ACRILI1482P120</t>
  </si>
  <si>
    <t>ACR LIMA</t>
  </si>
  <si>
    <t xml:space="preserve">LIMA </t>
  </si>
  <si>
    <t>ACRILI2829P120</t>
  </si>
  <si>
    <t>ACR LIMON</t>
  </si>
  <si>
    <t xml:space="preserve"> LIMON </t>
  </si>
  <si>
    <t>ACRILI1066P120</t>
  </si>
  <si>
    <t>ACR LOGO RED</t>
  </si>
  <si>
    <t xml:space="preserve">LOGO RED </t>
  </si>
  <si>
    <t>ACRILI2134P120</t>
  </si>
  <si>
    <t>ACR LUGANO</t>
  </si>
  <si>
    <t xml:space="preserve">LUGANO </t>
  </si>
  <si>
    <t>ACRILI3021P120</t>
  </si>
  <si>
    <t>ACR LUNA</t>
  </si>
  <si>
    <t>LUNA</t>
  </si>
  <si>
    <t>ACRILI2568P120</t>
  </si>
  <si>
    <t>ACR MADEIRA</t>
  </si>
  <si>
    <t xml:space="preserve">MADEIRA </t>
  </si>
  <si>
    <t>ACRILI2119P120</t>
  </si>
  <si>
    <t>ACR MALVA</t>
  </si>
  <si>
    <t xml:space="preserve">MALVA </t>
  </si>
  <si>
    <t>ACRILI2823P120</t>
  </si>
  <si>
    <t>ACR MANCHESTER</t>
  </si>
  <si>
    <t>MANCHESTER</t>
  </si>
  <si>
    <t>ACRILI2142P120</t>
  </si>
  <si>
    <t>ACR MANDARINA</t>
  </si>
  <si>
    <t xml:space="preserve">MANDARINA </t>
  </si>
  <si>
    <t>ACRILI3008P120</t>
  </si>
  <si>
    <t>ACR MANGO</t>
  </si>
  <si>
    <t xml:space="preserve"> MANGO </t>
  </si>
  <si>
    <t>ACRILI2143P120</t>
  </si>
  <si>
    <t>ACR MARFIL</t>
  </si>
  <si>
    <t xml:space="preserve">MARFIL </t>
  </si>
  <si>
    <t>ACRILI2145P120</t>
  </si>
  <si>
    <t>ACR MARINO</t>
  </si>
  <si>
    <t xml:space="preserve">MARINO </t>
  </si>
  <si>
    <t>ACRILI1070P120</t>
  </si>
  <si>
    <t>ACR MARMOL</t>
  </si>
  <si>
    <t xml:space="preserve">MARMOL </t>
  </si>
  <si>
    <t>ACRILI2146P120</t>
  </si>
  <si>
    <t>ACR MARRON</t>
  </si>
  <si>
    <t xml:space="preserve">MARRON </t>
  </si>
  <si>
    <t>ACRILI2149P120</t>
  </si>
  <si>
    <t>ACR MARRON N</t>
  </si>
  <si>
    <t xml:space="preserve">MARRON N </t>
  </si>
  <si>
    <t>ACRILI2165P120</t>
  </si>
  <si>
    <t>ACR MARRON X</t>
  </si>
  <si>
    <t xml:space="preserve">MARRON X </t>
  </si>
  <si>
    <t>ACRILI2121P120</t>
  </si>
  <si>
    <t>ACR MARTE</t>
  </si>
  <si>
    <t xml:space="preserve">MARTE </t>
  </si>
  <si>
    <t>ACRILI2160P120</t>
  </si>
  <si>
    <t>ACR MASTER</t>
  </si>
  <si>
    <t xml:space="preserve">MASTER </t>
  </si>
  <si>
    <t>ACRILI2830P120</t>
  </si>
  <si>
    <t>ACR MELOCOTON</t>
  </si>
  <si>
    <t xml:space="preserve"> MELOCOTON </t>
  </si>
  <si>
    <t>ACRILI2577P120</t>
  </si>
  <si>
    <t>ACR MIKONOS</t>
  </si>
  <si>
    <t xml:space="preserve">MIKONOS </t>
  </si>
  <si>
    <t>ACRILI2831P120</t>
  </si>
  <si>
    <t>ACR MINERAL</t>
  </si>
  <si>
    <t xml:space="preserve"> MINERAL </t>
  </si>
  <si>
    <t>ACRILI2154P120</t>
  </si>
  <si>
    <t>ACR MONACO</t>
  </si>
  <si>
    <t xml:space="preserve">MONACO </t>
  </si>
  <si>
    <t>ACRILI2168P120</t>
  </si>
  <si>
    <t>ACR MONCAYO</t>
  </si>
  <si>
    <t xml:space="preserve">MONCAYO </t>
  </si>
  <si>
    <t>RECACRIL411P120</t>
  </si>
  <si>
    <t>ACR MONTORNES</t>
  </si>
  <si>
    <t>MONTORNES</t>
  </si>
  <si>
    <t>ACRILI2157P120</t>
  </si>
  <si>
    <t>ACR MOSCU</t>
  </si>
  <si>
    <t xml:space="preserve">MOSCU </t>
  </si>
  <si>
    <t>ACRILI2837P120</t>
  </si>
  <si>
    <t>ACR MOSTAZA</t>
  </si>
  <si>
    <t xml:space="preserve"> MOSTAZA </t>
  </si>
  <si>
    <t>ACRILI2050P120</t>
  </si>
  <si>
    <t>ACR NARANJA</t>
  </si>
  <si>
    <t>NARANJA</t>
  </si>
  <si>
    <t>ACRILI2052P120</t>
  </si>
  <si>
    <t>ACR NARANJA N</t>
  </si>
  <si>
    <t xml:space="preserve">NARANJA N </t>
  </si>
  <si>
    <t>ACRILI2026P120</t>
  </si>
  <si>
    <t>ACR NATURAL</t>
  </si>
  <si>
    <t xml:space="preserve">NATURAL </t>
  </si>
  <si>
    <t>ACRILI2561P120</t>
  </si>
  <si>
    <t>ACR NEBRASKA</t>
  </si>
  <si>
    <t xml:space="preserve">NEBRASKA </t>
  </si>
  <si>
    <t>ACRILI2820P120</t>
  </si>
  <si>
    <t>ACR NECTAR</t>
  </si>
  <si>
    <t xml:space="preserve"> NECTAR </t>
  </si>
  <si>
    <t>ACRILI2170P120</t>
  </si>
  <si>
    <t>ACR NEGRO</t>
  </si>
  <si>
    <t xml:space="preserve">NEGRO </t>
  </si>
  <si>
    <t>ACRILI2171P120</t>
  </si>
  <si>
    <t>ACR NEGRO N</t>
  </si>
  <si>
    <t xml:space="preserve">NEGRO N </t>
  </si>
  <si>
    <t>RECACRIL103P120</t>
  </si>
  <si>
    <t>ACR NEGRO.</t>
  </si>
  <si>
    <t xml:space="preserve"> NEGRO </t>
  </si>
  <si>
    <t>ACRILI2176P120</t>
  </si>
  <si>
    <t>ACR NEVADA</t>
  </si>
  <si>
    <t xml:space="preserve">NEVADA </t>
  </si>
  <si>
    <t>ACRILI2174P120</t>
  </si>
  <si>
    <t>ACR NEW YORK</t>
  </si>
  <si>
    <t xml:space="preserve">NEW YORK </t>
  </si>
  <si>
    <t>ACRILI3009P120</t>
  </si>
  <si>
    <t>ACR NUBE</t>
  </si>
  <si>
    <t xml:space="preserve"> NUBE </t>
  </si>
  <si>
    <t>ACRILI1479P120</t>
  </si>
  <si>
    <t>ACR OCEAN</t>
  </si>
  <si>
    <t xml:space="preserve">OCEAN </t>
  </si>
  <si>
    <t>ACRILI2180P120</t>
  </si>
  <si>
    <t>ACR OCRE</t>
  </si>
  <si>
    <t xml:space="preserve">OCRE </t>
  </si>
  <si>
    <t>ACRILI2183P120</t>
  </si>
  <si>
    <t>ACR OCRE-MARRON</t>
  </si>
  <si>
    <t xml:space="preserve">OCRE-MARR </t>
  </si>
  <si>
    <t>ACRILI2832P120</t>
  </si>
  <si>
    <t>ACR OLIVA</t>
  </si>
  <si>
    <t xml:space="preserve"> OLIVA </t>
  </si>
  <si>
    <t>ACRILI1069P120</t>
  </si>
  <si>
    <t>ACR OPTIK</t>
  </si>
  <si>
    <t xml:space="preserve">OPTIK </t>
  </si>
  <si>
    <t>ACRILI2927P120</t>
  </si>
  <si>
    <t>ACR ORLEANS</t>
  </si>
  <si>
    <t xml:space="preserve"> ORLEANS </t>
  </si>
  <si>
    <t>ACRILI2688P120</t>
  </si>
  <si>
    <t>ACR ORO</t>
  </si>
  <si>
    <t xml:space="preserve">ORO  </t>
  </si>
  <si>
    <t>ACRILI2818P120</t>
  </si>
  <si>
    <t>ACR OSLO</t>
  </si>
  <si>
    <t xml:space="preserve"> OSLO </t>
  </si>
  <si>
    <t>ACRILI2200P120</t>
  </si>
  <si>
    <t>ACR PARIS</t>
  </si>
  <si>
    <t xml:space="preserve">PARIS </t>
  </si>
  <si>
    <t>ACRILI2207P120</t>
  </si>
  <si>
    <t>ACR PARMA</t>
  </si>
  <si>
    <t xml:space="preserve">PARMA </t>
  </si>
  <si>
    <t>ACRILI2979P120</t>
  </si>
  <si>
    <t>ACR PERLA</t>
  </si>
  <si>
    <t xml:space="preserve"> PERLA </t>
  </si>
  <si>
    <t>ACRILI3605P120</t>
  </si>
  <si>
    <t>ACR PIEDRA</t>
  </si>
  <si>
    <t xml:space="preserve"> PIEDRA </t>
  </si>
  <si>
    <t>ACRILI2682P120</t>
  </si>
  <si>
    <t>ACR PIEDRA X</t>
  </si>
  <si>
    <t xml:space="preserve">PIEDRA X </t>
  </si>
  <si>
    <t>ACRILI2835P120</t>
  </si>
  <si>
    <t>ACR PINK</t>
  </si>
  <si>
    <t xml:space="preserve"> PINK </t>
  </si>
  <si>
    <t>ACRILI2790P120</t>
  </si>
  <si>
    <t>ACR PIRINEOS</t>
  </si>
  <si>
    <t xml:space="preserve">PIRINEOS </t>
  </si>
  <si>
    <t>ACRILI2179P120</t>
  </si>
  <si>
    <t>ACR PLUTON</t>
  </si>
  <si>
    <t xml:space="preserve">PLUTON </t>
  </si>
  <si>
    <t>ACRILI2205P120</t>
  </si>
  <si>
    <t>ACR PRAGA</t>
  </si>
  <si>
    <t xml:space="preserve">PRAGA </t>
  </si>
  <si>
    <t>ACRILI2704P120</t>
  </si>
  <si>
    <t>ACR PUERTO RICO</t>
  </si>
  <si>
    <t xml:space="preserve">PUERTO RICO </t>
  </si>
  <si>
    <t>ACRILI2801P120</t>
  </si>
  <si>
    <t>ACR QATAR</t>
  </si>
  <si>
    <t>QATAR</t>
  </si>
  <si>
    <t>ACRILI2839P120</t>
  </si>
  <si>
    <t>ACR RACING</t>
  </si>
  <si>
    <t xml:space="preserve"> RACING </t>
  </si>
  <si>
    <t>ACRILI1073P120</t>
  </si>
  <si>
    <t>ACR RAIN</t>
  </si>
  <si>
    <t xml:space="preserve">RAIN </t>
  </si>
  <si>
    <t>ACRILI3002P120</t>
  </si>
  <si>
    <t>ACR REGATA</t>
  </si>
  <si>
    <t xml:space="preserve"> REGATA </t>
  </si>
  <si>
    <t>ACRILI2216P120</t>
  </si>
  <si>
    <t>ACR RENO</t>
  </si>
  <si>
    <t>RENO</t>
  </si>
  <si>
    <t>ACRRES2013P120</t>
  </si>
  <si>
    <t>ACR RESIN  AMARILLO</t>
  </si>
  <si>
    <t>ACR RES</t>
  </si>
  <si>
    <t xml:space="preserve">  AMARILLO </t>
  </si>
  <si>
    <t>ACRRES8488P120</t>
  </si>
  <si>
    <t>ACR RESIN ANTRACITA</t>
  </si>
  <si>
    <t>ACRRES2296P153</t>
  </si>
  <si>
    <t>ACR RESIN AVENA</t>
  </si>
  <si>
    <t xml:space="preserve"> AVENA </t>
  </si>
  <si>
    <t>ACRRESAZULP120</t>
  </si>
  <si>
    <t>ACR RESIN AZUL</t>
  </si>
  <si>
    <t xml:space="preserve"> AZUL </t>
  </si>
  <si>
    <t>ACRRES2038P120</t>
  </si>
  <si>
    <t>ACR RESIN BEIGE</t>
  </si>
  <si>
    <t xml:space="preserve"> BEIGE </t>
  </si>
  <si>
    <t>ACRRESBLANP120</t>
  </si>
  <si>
    <t>ACR RESIN BLANCO</t>
  </si>
  <si>
    <t xml:space="preserve"> BLANCO  </t>
  </si>
  <si>
    <t>ACRRESGRANP120</t>
  </si>
  <si>
    <t>ACR RESIN GRANATE</t>
  </si>
  <si>
    <t xml:space="preserve"> GRANATE </t>
  </si>
  <si>
    <t>ACRRES2102P120</t>
  </si>
  <si>
    <t>ACR RESIN GRIS</t>
  </si>
  <si>
    <t xml:space="preserve"> GRIS </t>
  </si>
  <si>
    <t>ACRRES2143P120</t>
  </si>
  <si>
    <t>ACR RESIN MARFIL</t>
  </si>
  <si>
    <t xml:space="preserve"> MARFIL</t>
  </si>
  <si>
    <t>ACRRES2145P120</t>
  </si>
  <si>
    <t>ACR RESIN MARINO</t>
  </si>
  <si>
    <t xml:space="preserve"> MARINO </t>
  </si>
  <si>
    <t>ACRRESMRROP153</t>
  </si>
  <si>
    <t>ACR RESIN MARRON</t>
  </si>
  <si>
    <t xml:space="preserve"> MARRON </t>
  </si>
  <si>
    <t>ACRRES2050P153</t>
  </si>
  <si>
    <t>ACR RESIN NARANJA</t>
  </si>
  <si>
    <t xml:space="preserve"> NARANJA</t>
  </si>
  <si>
    <t>ACRRESNEGROP120</t>
  </si>
  <si>
    <t>ACR RESIN NEGRO</t>
  </si>
  <si>
    <t>ACRRES2979P153</t>
  </si>
  <si>
    <t>ACR RESIN PERLA</t>
  </si>
  <si>
    <t>PERLA</t>
  </si>
  <si>
    <t>ACRRESRIOJP153</t>
  </si>
  <si>
    <t>ACR RESIN RIOJA</t>
  </si>
  <si>
    <t xml:space="preserve"> RIOJA </t>
  </si>
  <si>
    <t>ACRRESROJOP120</t>
  </si>
  <si>
    <t>ACR RESIN ROJO</t>
  </si>
  <si>
    <t xml:space="preserve"> ROJO </t>
  </si>
  <si>
    <t>ACRRES2596P120</t>
  </si>
  <si>
    <t>ACR RESIN SEDA</t>
  </si>
  <si>
    <t xml:space="preserve"> SEDA </t>
  </si>
  <si>
    <t>ACRRES2821P153</t>
  </si>
  <si>
    <t>ACR RESIN SILVER</t>
  </si>
  <si>
    <t xml:space="preserve"> SILVER  </t>
  </si>
  <si>
    <t>ACRRES2065P120</t>
  </si>
  <si>
    <t>ACR RESIN TEJA</t>
  </si>
  <si>
    <t xml:space="preserve"> TEJA </t>
  </si>
  <si>
    <t>ACRRESVAINP153</t>
  </si>
  <si>
    <t>ACR RESIN VAINILLA</t>
  </si>
  <si>
    <t xml:space="preserve"> VAINILLA</t>
  </si>
  <si>
    <t>ACRRESSR8280P120</t>
  </si>
  <si>
    <t>ACR RESIN VERDE</t>
  </si>
  <si>
    <t xml:space="preserve"> VERDE </t>
  </si>
  <si>
    <t>ACRRESVEBOP120</t>
  </si>
  <si>
    <t>ACR RESIN VERDE BOTELLA</t>
  </si>
  <si>
    <t xml:space="preserve"> VERDE BOTELLA </t>
  </si>
  <si>
    <t>ACRILI221OP120</t>
  </si>
  <si>
    <t>ACR RIOJA</t>
  </si>
  <si>
    <t xml:space="preserve">RIOJA </t>
  </si>
  <si>
    <t>RECACRIL127P120</t>
  </si>
  <si>
    <t>ACR ROCA</t>
  </si>
  <si>
    <t xml:space="preserve"> ROCA </t>
  </si>
  <si>
    <t>ACRILI2578P120</t>
  </si>
  <si>
    <t>ACR RODAS</t>
  </si>
  <si>
    <t xml:space="preserve">RODAS </t>
  </si>
  <si>
    <t>ACRILI2211P120</t>
  </si>
  <si>
    <t>ACR ROJO</t>
  </si>
  <si>
    <t xml:space="preserve">ROJO </t>
  </si>
  <si>
    <t>ACRILI2212P120</t>
  </si>
  <si>
    <t>ACR ROJO N</t>
  </si>
  <si>
    <t xml:space="preserve">ROJO N </t>
  </si>
  <si>
    <t>ACRILI2215P120</t>
  </si>
  <si>
    <t>ACR ROSA N</t>
  </si>
  <si>
    <t xml:space="preserve">ROSA N </t>
  </si>
  <si>
    <t>ACRILI2806P120</t>
  </si>
  <si>
    <t>ACR SAN FRANCISCO</t>
  </si>
  <si>
    <t xml:space="preserve"> SAN FRANCISCO </t>
  </si>
  <si>
    <t>ACRILI1071P120</t>
  </si>
  <si>
    <t>ACR SAND</t>
  </si>
  <si>
    <t xml:space="preserve">SAND </t>
  </si>
  <si>
    <t>ACRILI2579P120</t>
  </si>
  <si>
    <t>ACR SANTORINI</t>
  </si>
  <si>
    <t xml:space="preserve">SANTORINI </t>
  </si>
  <si>
    <t>ACRILI2596P120</t>
  </si>
  <si>
    <t>ACR SEDA</t>
  </si>
  <si>
    <t xml:space="preserve">SEDA </t>
  </si>
  <si>
    <t>ACRILI1469P120</t>
  </si>
  <si>
    <t>ACR SHELL</t>
  </si>
  <si>
    <t>SHELL</t>
  </si>
  <si>
    <t>ACRILI2821P120</t>
  </si>
  <si>
    <t>ACR SILVER</t>
  </si>
  <si>
    <t xml:space="preserve"> SILVER </t>
  </si>
  <si>
    <t>ACRILI2226P120</t>
  </si>
  <si>
    <t>ACR SIROCO</t>
  </si>
  <si>
    <t xml:space="preserve">SIROCO </t>
  </si>
  <si>
    <t>ACRILI2126P120</t>
  </si>
  <si>
    <t>ACR SOL</t>
  </si>
  <si>
    <t xml:space="preserve">SOL </t>
  </si>
  <si>
    <t>ACRILI2924P120</t>
  </si>
  <si>
    <t>ACR ST ANDREWS</t>
  </si>
  <si>
    <t xml:space="preserve"> ST.ANDREWS </t>
  </si>
  <si>
    <t>ACRILI2757P120</t>
  </si>
  <si>
    <t>ACR STILO AMARILLO</t>
  </si>
  <si>
    <t>STILO AMARILLO</t>
  </si>
  <si>
    <t>ACRILI2758P120</t>
  </si>
  <si>
    <t>ACR STILO BRISA</t>
  </si>
  <si>
    <t xml:space="preserve">STILO BRISA </t>
  </si>
  <si>
    <t>ACRILI1459P120</t>
  </si>
  <si>
    <t>ACR STIRLING</t>
  </si>
  <si>
    <t>STIRLING</t>
  </si>
  <si>
    <t>ACRILI2571P120</t>
  </si>
  <si>
    <t>ACR STUTTGART</t>
  </si>
  <si>
    <t xml:space="preserve">STUTTGART </t>
  </si>
  <si>
    <t>ACRILI2230P120</t>
  </si>
  <si>
    <t>ACR TAJO</t>
  </si>
  <si>
    <t xml:space="preserve">TAJO </t>
  </si>
  <si>
    <t>ACRILI2573P120</t>
  </si>
  <si>
    <t>ACR TAURO</t>
  </si>
  <si>
    <t xml:space="preserve">TAURO </t>
  </si>
  <si>
    <t>ACRILI2065P120</t>
  </si>
  <si>
    <t>ACR TEJA</t>
  </si>
  <si>
    <t xml:space="preserve">TEJA </t>
  </si>
  <si>
    <t>ACRILI2354P120</t>
  </si>
  <si>
    <t>ACR TENNERE</t>
  </si>
  <si>
    <t xml:space="preserve">TENNERE </t>
  </si>
  <si>
    <t>ACRILI8645P120</t>
  </si>
  <si>
    <t>ACR TERRACOTA</t>
  </si>
  <si>
    <t xml:space="preserve"> TERRACOTA </t>
  </si>
  <si>
    <t>ACRILI2128P120</t>
  </si>
  <si>
    <t>ACR TIERRA</t>
  </si>
  <si>
    <t xml:space="preserve">TIERRA </t>
  </si>
  <si>
    <t>ACRILI2928P120</t>
  </si>
  <si>
    <t>ACR TIROL</t>
  </si>
  <si>
    <t xml:space="preserve"> TIROL </t>
  </si>
  <si>
    <t>ACRILI1470P120</t>
  </si>
  <si>
    <t>ACR TOAST</t>
  </si>
  <si>
    <t xml:space="preserve">TOAST </t>
  </si>
  <si>
    <t>ACRILI2569P120</t>
  </si>
  <si>
    <t>ACR TOBAGO</t>
  </si>
  <si>
    <t xml:space="preserve">TOBAGO </t>
  </si>
  <si>
    <t>ACRILI2834P120</t>
  </si>
  <si>
    <t>ACR TOFFEE</t>
  </si>
  <si>
    <t xml:space="preserve"> TOFFEE </t>
  </si>
  <si>
    <t>ACRILI2836P120</t>
  </si>
  <si>
    <t>ACR TOMATO</t>
  </si>
  <si>
    <t xml:space="preserve"> TOMATO </t>
  </si>
  <si>
    <t>ACRILI1074P120</t>
  </si>
  <si>
    <t>ACR TRIGO</t>
  </si>
  <si>
    <t xml:space="preserve">TRIGO </t>
  </si>
  <si>
    <t>ACRILI1489P120</t>
  </si>
  <si>
    <t>ACR TROPIC</t>
  </si>
  <si>
    <t xml:space="preserve">TROPIC </t>
  </si>
  <si>
    <t>ACRILI3003P120</t>
  </si>
  <si>
    <t>ACR TRUFA</t>
  </si>
  <si>
    <t xml:space="preserve"> TRUFA </t>
  </si>
  <si>
    <t>ACRILI3581120C</t>
  </si>
  <si>
    <t>ACR TWEED GRIS CLARO</t>
  </si>
  <si>
    <t xml:space="preserve"> TWEED GRIS CLARO</t>
  </si>
  <si>
    <t>ACRILI3582P120</t>
  </si>
  <si>
    <t>ACR TWEED NEGRO</t>
  </si>
  <si>
    <t xml:space="preserve"> TWEED NEGRO</t>
  </si>
  <si>
    <t>ACRILI1467P120</t>
  </si>
  <si>
    <t>ACR TWEED PERLA</t>
  </si>
  <si>
    <t xml:space="preserve">TWEED PERLA </t>
  </si>
  <si>
    <t>ACRILI3608P120</t>
  </si>
  <si>
    <t>ACR URBAN</t>
  </si>
  <si>
    <t xml:space="preserve"> URBAN </t>
  </si>
  <si>
    <t>ACRILI2687P120</t>
  </si>
  <si>
    <t>ACR VAINILLA</t>
  </si>
  <si>
    <t xml:space="preserve">VAINILLA </t>
  </si>
  <si>
    <t>ACRILI2676P120</t>
  </si>
  <si>
    <t>ACR VELETA</t>
  </si>
  <si>
    <t>VELETA</t>
  </si>
  <si>
    <t>ACRILI2659P120</t>
  </si>
  <si>
    <t>ACR VENUS</t>
  </si>
  <si>
    <t xml:space="preserve">VENUS </t>
  </si>
  <si>
    <t>ACRILI2242P120</t>
  </si>
  <si>
    <t>ACR VERDE</t>
  </si>
  <si>
    <t xml:space="preserve">VERDE </t>
  </si>
  <si>
    <t>ACRILI2246P120</t>
  </si>
  <si>
    <t>ACR VERDE CLARO</t>
  </si>
  <si>
    <t xml:space="preserve">VERDE CLARO </t>
  </si>
  <si>
    <t>ACRILI2248P120</t>
  </si>
  <si>
    <t>ACR VERDE N</t>
  </si>
  <si>
    <t xml:space="preserve">VERDE N </t>
  </si>
  <si>
    <t>ACRILI2636P120</t>
  </si>
  <si>
    <t>ACR VESUBIO</t>
  </si>
  <si>
    <t xml:space="preserve">VESUBIO </t>
  </si>
  <si>
    <t>ACRILI2251P120</t>
  </si>
  <si>
    <t>ACR VIENA</t>
  </si>
  <si>
    <t xml:space="preserve">VIENA </t>
  </si>
  <si>
    <t>ACRILI2252P120</t>
  </si>
  <si>
    <t>ACR VIOLETA</t>
  </si>
  <si>
    <t xml:space="preserve">VIOLETA </t>
  </si>
  <si>
    <t>ACRILI2250P120</t>
  </si>
  <si>
    <t>ACR VISON</t>
  </si>
  <si>
    <t xml:space="preserve">VISON </t>
  </si>
  <si>
    <t>ACRILI3609P120</t>
  </si>
  <si>
    <t>ACR VOLCAN</t>
  </si>
  <si>
    <t xml:space="preserve"> VOLCAN </t>
  </si>
  <si>
    <t>ACRILI2805P120</t>
  </si>
  <si>
    <t>ACR WASHINGTON</t>
  </si>
  <si>
    <t xml:space="preserve"> WASHINGTON </t>
  </si>
  <si>
    <t>ACRILI2255P120</t>
  </si>
  <si>
    <t>ACR ZURICH</t>
  </si>
  <si>
    <t>ZURICH</t>
  </si>
  <si>
    <t>CRISTATP140650</t>
  </si>
  <si>
    <t>CRISTAL TRANSP 650 MICRAS</t>
  </si>
  <si>
    <t>CRISTAL</t>
  </si>
  <si>
    <t>TRANSP</t>
  </si>
  <si>
    <t>PLASCHP200300</t>
  </si>
  <si>
    <t>PLASTICO CON HILO</t>
  </si>
  <si>
    <t>CON HILO</t>
  </si>
  <si>
    <t>ALPHAAM03P250</t>
  </si>
  <si>
    <t>PVC 580 AMARILLO 1003</t>
  </si>
  <si>
    <t>PVC 580</t>
  </si>
  <si>
    <t>AMARILLO 1003</t>
  </si>
  <si>
    <t>ALPHAAM18P250</t>
  </si>
  <si>
    <t>PVC 580 AMARILLO 1018</t>
  </si>
  <si>
    <t xml:space="preserve">AMARILLO 1018 </t>
  </si>
  <si>
    <t>ALPHAARENP250</t>
  </si>
  <si>
    <t>PVC 580 ARENA</t>
  </si>
  <si>
    <t xml:space="preserve"> ARENA</t>
  </si>
  <si>
    <t>ALPHAAZ15P250</t>
  </si>
  <si>
    <t>PVC 580 AZUL 5015</t>
  </si>
  <si>
    <t>AZUL 5015</t>
  </si>
  <si>
    <t>ALPHAAZEUP250</t>
  </si>
  <si>
    <t>PVC 580 AZUL EUROPA</t>
  </si>
  <si>
    <t>AZUL EUROPA</t>
  </si>
  <si>
    <t>STPLUSBL10P250</t>
  </si>
  <si>
    <t>PVC 580 BLANCO</t>
  </si>
  <si>
    <t xml:space="preserve">PVC 580 </t>
  </si>
  <si>
    <t>BLANCO</t>
  </si>
  <si>
    <t>STPLUSBURDP250</t>
  </si>
  <si>
    <t>PVC 580 BURDEOS</t>
  </si>
  <si>
    <t>BURDEOS</t>
  </si>
  <si>
    <t>STPLUSCR14P250</t>
  </si>
  <si>
    <t>PVC 580 CREMA</t>
  </si>
  <si>
    <t>CREMA</t>
  </si>
  <si>
    <t>STPLUSGR37P250</t>
  </si>
  <si>
    <t>PVC 580 GRIS 7037</t>
  </si>
  <si>
    <t xml:space="preserve">GRIS 096 </t>
  </si>
  <si>
    <t>STPLUSGR38P250</t>
  </si>
  <si>
    <t>PVC 580 GRIS 7038</t>
  </si>
  <si>
    <t>GRIS 095</t>
  </si>
  <si>
    <t>STPLUSMA13P250</t>
  </si>
  <si>
    <t>PVC 580 MARFIL</t>
  </si>
  <si>
    <t>ALPHAMR04P250</t>
  </si>
  <si>
    <t>PVC 580 MARRON</t>
  </si>
  <si>
    <t>ALPHANA04P250</t>
  </si>
  <si>
    <t>PVC 580 NARANJA</t>
  </si>
  <si>
    <t xml:space="preserve">NARANJA </t>
  </si>
  <si>
    <t>ALPHANEGRP250</t>
  </si>
  <si>
    <t>PVC 580 NEGRO</t>
  </si>
  <si>
    <t>NEGRO</t>
  </si>
  <si>
    <t>STPLUSPLATP250</t>
  </si>
  <si>
    <t>PVC 580 PLATA</t>
  </si>
  <si>
    <t>PLATA</t>
  </si>
  <si>
    <t>STPLUSRO02P250</t>
  </si>
  <si>
    <t>PVC 580 ROJO</t>
  </si>
  <si>
    <t>ROJO</t>
  </si>
  <si>
    <t>ALPHAVE26P250</t>
  </si>
  <si>
    <t>PVC 580 VERDE 6026</t>
  </si>
  <si>
    <t xml:space="preserve">VERDE 6026 </t>
  </si>
  <si>
    <t>G650AM03P250</t>
  </si>
  <si>
    <t>PVC 650 AMARILLO 1003</t>
  </si>
  <si>
    <t>PVC 650</t>
  </si>
  <si>
    <t>B8000AM21P250</t>
  </si>
  <si>
    <t>PVC 650 AMARILLO 1021</t>
  </si>
  <si>
    <t>AMARILLO 1021</t>
  </si>
  <si>
    <t>G650AZ15P250</t>
  </si>
  <si>
    <t>PVC 650 AZUL 5015</t>
  </si>
  <si>
    <t>B8000AZ0SP250</t>
  </si>
  <si>
    <t>PVC 650 AZUL 5032</t>
  </si>
  <si>
    <t>AZUL 5032</t>
  </si>
  <si>
    <t>G650AZEUP250</t>
  </si>
  <si>
    <t>PVC 650 AZUL EUROPA</t>
  </si>
  <si>
    <t xml:space="preserve">AZUL EUROPA </t>
  </si>
  <si>
    <t>LAC640AZ15P300</t>
  </si>
  <si>
    <t xml:space="preserve">PVC 650 </t>
  </si>
  <si>
    <t>LAC640BL10P250</t>
  </si>
  <si>
    <t>PVC 650 BLANCO</t>
  </si>
  <si>
    <t>LAC650BLANP250</t>
  </si>
  <si>
    <t>PVC 650 IGN</t>
  </si>
  <si>
    <t>G650CR14P250</t>
  </si>
  <si>
    <t>PVC 650 CREMA</t>
  </si>
  <si>
    <t>B8000GRCLP250</t>
  </si>
  <si>
    <t>PVC 650 GRIS  7001</t>
  </si>
  <si>
    <t>GRIS  7001</t>
  </si>
  <si>
    <t>G650GR38P250</t>
  </si>
  <si>
    <t>PVC 650 GRIS  7038</t>
  </si>
  <si>
    <t>GRIS  7038</t>
  </si>
  <si>
    <t>B8000GROSP250</t>
  </si>
  <si>
    <t>PVC 650 GRIS 7024</t>
  </si>
  <si>
    <t>GRIS 7024</t>
  </si>
  <si>
    <t>G650GR30P250</t>
  </si>
  <si>
    <t>PVC 650 GRIS 7030</t>
  </si>
  <si>
    <t>GRIS 7030</t>
  </si>
  <si>
    <t>G650GR37P250</t>
  </si>
  <si>
    <t>PVC 650 GRIS 7037</t>
  </si>
  <si>
    <t>GRIS 7037</t>
  </si>
  <si>
    <t>B8000GRMEP250</t>
  </si>
  <si>
    <t>PVC 650 GRIS 7060</t>
  </si>
  <si>
    <t>GRIS 7060</t>
  </si>
  <si>
    <t>B8000GRALP250</t>
  </si>
  <si>
    <t>PVC 650 GRIS ALUMINIO</t>
  </si>
  <si>
    <t>GRIS ALUMINIO</t>
  </si>
  <si>
    <t>GAMAM2AM03P250</t>
  </si>
  <si>
    <t>PVC 650 IGN AMARILLO</t>
  </si>
  <si>
    <t>AMARILLO</t>
  </si>
  <si>
    <t>GAMAM2AZ13P250</t>
  </si>
  <si>
    <t>PVC 650 IGN AZUL</t>
  </si>
  <si>
    <t>AZUL</t>
  </si>
  <si>
    <t>GAMAM2AZ15P250</t>
  </si>
  <si>
    <t>GAMAM2AZEUP250</t>
  </si>
  <si>
    <t>PVC 650 IGN AZUL EUROPA</t>
  </si>
  <si>
    <t>GAMAM2CR14P250</t>
  </si>
  <si>
    <t>PVC 650 IGN CREMA</t>
  </si>
  <si>
    <t>GAMAM2GR30P250</t>
  </si>
  <si>
    <t>PVC 650 IGN GRIS</t>
  </si>
  <si>
    <t>GRIS</t>
  </si>
  <si>
    <t>GAMAM2MA13P250</t>
  </si>
  <si>
    <t>PVC 650 IGN MARFIL</t>
  </si>
  <si>
    <t>MARFIL</t>
  </si>
  <si>
    <t>GAMAM2NEGRP250</t>
  </si>
  <si>
    <t>PVC 650 IGN NEGRO</t>
  </si>
  <si>
    <t>GAMAM2RO02P250</t>
  </si>
  <si>
    <t>PVC 650 IGN ROJO</t>
  </si>
  <si>
    <t>GAMMA2VAINP250</t>
  </si>
  <si>
    <t>PVC 650 IGN VAINILLA</t>
  </si>
  <si>
    <t>GAMAM2VE26P250</t>
  </si>
  <si>
    <t>PVC 650 IGN VERDE</t>
  </si>
  <si>
    <t>B8000MARFP250</t>
  </si>
  <si>
    <t>PVC 650 MARFIL</t>
  </si>
  <si>
    <t>B8000MR17P250</t>
  </si>
  <si>
    <t>PVC 650 MARRON</t>
  </si>
  <si>
    <t>MARRON</t>
  </si>
  <si>
    <t>B8000NARJP250</t>
  </si>
  <si>
    <t>PVC 650 NARANJA</t>
  </si>
  <si>
    <t>LAC640NA04P300</t>
  </si>
  <si>
    <t xml:space="preserve">NARANJA RAL </t>
  </si>
  <si>
    <t>G650NEGRP250</t>
  </si>
  <si>
    <t>PVC 650 NEGRO</t>
  </si>
  <si>
    <t>LAC640NE05P300</t>
  </si>
  <si>
    <t>G650ROJOP250</t>
  </si>
  <si>
    <t>PVC 650 ROJO</t>
  </si>
  <si>
    <t>G650VA23P250</t>
  </si>
  <si>
    <t>PVC 650 VAINILLA</t>
  </si>
  <si>
    <t>G650VE26P300</t>
  </si>
  <si>
    <t>PVC 650 VERDE 6026</t>
  </si>
  <si>
    <t>VERDE 6026</t>
  </si>
  <si>
    <t>SEDOSOLMRROP300</t>
  </si>
  <si>
    <t>SEDOSOL 500 MARRON</t>
  </si>
  <si>
    <t>SEDOSOL 500</t>
  </si>
  <si>
    <t>SOLTIS86BEIGP177</t>
  </si>
  <si>
    <t>SOLTIS 86 BEIGE</t>
  </si>
  <si>
    <t>SOLTIS 86</t>
  </si>
  <si>
    <t>SOLTIS86BLANP177</t>
  </si>
  <si>
    <t>SOLTIS 86 BLANCO</t>
  </si>
  <si>
    <t>SOLTIS86NEGRP270</t>
  </si>
  <si>
    <t>SOLTIS 86 NEGRO</t>
  </si>
  <si>
    <t>SOLTIS86SALMP177</t>
  </si>
  <si>
    <t>SOLTIS 86 SALMON</t>
  </si>
  <si>
    <t xml:space="preserve">SALMON </t>
  </si>
  <si>
    <t>SOLTIS92BEIGP267</t>
  </si>
  <si>
    <t>SOLTIS 92  BEIGE</t>
  </si>
  <si>
    <t>SOLTIS 92</t>
  </si>
  <si>
    <t xml:space="preserve"> BEIGE</t>
  </si>
  <si>
    <t>SOLTIS92AVENP267</t>
  </si>
  <si>
    <t>SOLTIS 92  BEIGE-ARENA</t>
  </si>
  <si>
    <t xml:space="preserve"> BEIGE-ARENA </t>
  </si>
  <si>
    <t>SOLTIS9250HAP177</t>
  </si>
  <si>
    <t>SOLTIS 92  HABANA</t>
  </si>
  <si>
    <t xml:space="preserve"> HABANA</t>
  </si>
  <si>
    <t>SOLTIS920268P177</t>
  </si>
  <si>
    <t>SOLTIS 92 50268</t>
  </si>
  <si>
    <t>SOLTIS92AMCLP177</t>
  </si>
  <si>
    <t>SOLTIS 92 AMARILLO LIMON</t>
  </si>
  <si>
    <t xml:space="preserve">AMARILLO LIMON </t>
  </si>
  <si>
    <t>SOLTIS92ARENP177</t>
  </si>
  <si>
    <t>SOLTIS 92 ARENA</t>
  </si>
  <si>
    <t>ARENA</t>
  </si>
  <si>
    <t>SOLTIS92AZULP177</t>
  </si>
  <si>
    <t>SOLTIS 92 AZUL</t>
  </si>
  <si>
    <t>SOLTIS92CAFEP177</t>
  </si>
  <si>
    <t>SOLTIS 92 CAFÉ</t>
  </si>
  <si>
    <t>SOLTIS92GRMEP177</t>
  </si>
  <si>
    <t>SOLTIS 92 GRIS MEDIO</t>
  </si>
  <si>
    <t>GRIS MEDIO</t>
  </si>
  <si>
    <t>SOLTIS92GROSP177</t>
  </si>
  <si>
    <t>SOLTIS 92 GRIS OSCURO</t>
  </si>
  <si>
    <t>GRIS OSCURO</t>
  </si>
  <si>
    <t>SOLTIS92MRROP177</t>
  </si>
  <si>
    <t>SOLTIS 92 MARRON</t>
  </si>
  <si>
    <t>SOLTIS92NEGRP177</t>
  </si>
  <si>
    <t>SOLTIS 92 NEGRO</t>
  </si>
  <si>
    <t>SOLTIS92NUBP177</t>
  </si>
  <si>
    <t>SOLTIS 92 NUBE</t>
  </si>
  <si>
    <t xml:space="preserve">NUBE </t>
  </si>
  <si>
    <t>SOLTIS92PL/BP267</t>
  </si>
  <si>
    <t>SOLTIS 92 PLATA/BLANCO</t>
  </si>
  <si>
    <t>PLATA/BLANCO</t>
  </si>
  <si>
    <t>SOLTIS92ROJOP177</t>
  </si>
  <si>
    <t>SOLTIS 92 ROJO</t>
  </si>
  <si>
    <t>SOLTIS922821P177</t>
  </si>
  <si>
    <t>SOLTIS 92 SILVER</t>
  </si>
  <si>
    <t xml:space="preserve">SOLTIS 92 </t>
  </si>
  <si>
    <t>SILVER</t>
  </si>
  <si>
    <t>SOLTIS92VECLP177</t>
  </si>
  <si>
    <t xml:space="preserve">SOLTIS 92 VERDE </t>
  </si>
  <si>
    <t>SOLTIS92VEMAP177</t>
  </si>
  <si>
    <t>SOLTIS 92 VERDE MANZANA</t>
  </si>
  <si>
    <t>VERDE MANZANA</t>
  </si>
  <si>
    <t>SOLTIS96VAINP267</t>
  </si>
  <si>
    <t>SOLTIS 96 ARENA 8861</t>
  </si>
  <si>
    <t>SOLTIS 96</t>
  </si>
  <si>
    <t>SOLTIS96MARFP267</t>
  </si>
  <si>
    <t>SOLTIS 96 BEGE-ARENA 2135</t>
  </si>
  <si>
    <t>BEIG-ARENA</t>
  </si>
  <si>
    <t>SOLTIS96BLANP267</t>
  </si>
  <si>
    <t>SOLTIS 96 BLANCO</t>
  </si>
  <si>
    <t>BLANCO 8102</t>
  </si>
  <si>
    <t>SOLTIS96NATUP267</t>
  </si>
  <si>
    <t>SOLTIS 96 BLANCO-NATURAL 1103</t>
  </si>
  <si>
    <t>BLANCO-NATURAL</t>
  </si>
  <si>
    <t>SOLTIS96KARIP267</t>
  </si>
  <si>
    <t>SOLTIS 96 KARITE</t>
  </si>
  <si>
    <t>KARITE</t>
  </si>
  <si>
    <t>SOLTIS96NEGRP267</t>
  </si>
  <si>
    <t>SOLTIS 96 NEGRO 8450</t>
  </si>
  <si>
    <t xml:space="preserve">SOLTIS 96 </t>
  </si>
  <si>
    <t>SOLTIS99ARENP267</t>
  </si>
  <si>
    <t>SOLTIS 99 ARENA</t>
  </si>
  <si>
    <t xml:space="preserve">SOLTIS 99 </t>
  </si>
  <si>
    <t>SOLTIS99AZREP177</t>
  </si>
  <si>
    <t>SOLTIS 99 AZUL REAL</t>
  </si>
  <si>
    <t>SOLTIS 99</t>
  </si>
  <si>
    <t>AZUL REAL</t>
  </si>
  <si>
    <t>SOLTIS99BLANP177</t>
  </si>
  <si>
    <t>SOLTIS 99 BLANCO</t>
  </si>
  <si>
    <t>SOLTIS99BLANP267</t>
  </si>
  <si>
    <t>SOLTIS99CRCLP177</t>
  </si>
  <si>
    <t>SOLTIS 99 CREMA CLARO</t>
  </si>
  <si>
    <t>CREMA CLARO</t>
  </si>
  <si>
    <t>SOLTIS99GRCLP270</t>
  </si>
  <si>
    <t>SOLTIS 99 GRIS CLARO</t>
  </si>
  <si>
    <t>GRIS CLARO</t>
  </si>
  <si>
    <t>SOLTIS99GROSP177</t>
  </si>
  <si>
    <t>SOLTIS 99 GRIS OSCURO</t>
  </si>
  <si>
    <t>SOLTIS99NATUP177</t>
  </si>
  <si>
    <t>SOLTIS 99 NATURAL</t>
  </si>
  <si>
    <t>NATURAL</t>
  </si>
  <si>
    <t>SOLTIS99SALMP177</t>
  </si>
  <si>
    <t>SOLTIS 99 SALMON</t>
  </si>
  <si>
    <t>SALMON</t>
  </si>
  <si>
    <t>S2000EVE26P300</t>
  </si>
  <si>
    <t>REJILLA ESP. S2000 VERDE 6026</t>
  </si>
  <si>
    <t>REJILLA</t>
  </si>
  <si>
    <t>VERDE</t>
  </si>
  <si>
    <t>ACR GENERAT RED</t>
  </si>
  <si>
    <t>ACRILI1456P120</t>
  </si>
  <si>
    <t>ACR ANIMALES CARDINAL</t>
  </si>
  <si>
    <t>SOLTIS96GRCLP267</t>
  </si>
  <si>
    <t>SOLTIS 86 GRIS BOULDER 2171</t>
  </si>
  <si>
    <t>SOLTIS</t>
  </si>
  <si>
    <t>GRIS BOULDER</t>
  </si>
  <si>
    <t>Pieza 1</t>
  </si>
  <si>
    <t>Pieza 2</t>
  </si>
  <si>
    <t>Pieza 3</t>
  </si>
  <si>
    <t>Pieza 4</t>
  </si>
  <si>
    <t>Pieza 5</t>
  </si>
  <si>
    <t>Pieza 6</t>
  </si>
  <si>
    <t>Pieza 7</t>
  </si>
  <si>
    <t>Pieza 8</t>
  </si>
  <si>
    <t>Pieza 9</t>
  </si>
  <si>
    <t>Pieza 10</t>
  </si>
  <si>
    <t>Pieza 11</t>
  </si>
  <si>
    <t>Pieza 12</t>
  </si>
  <si>
    <t>Pieza 13</t>
  </si>
  <si>
    <t>Pieza 14</t>
  </si>
  <si>
    <t>Pieza 15</t>
  </si>
  <si>
    <t>Pieza 16</t>
  </si>
  <si>
    <t>Pieza 17</t>
  </si>
  <si>
    <t>Pieza 18</t>
  </si>
  <si>
    <t>Pieza 19</t>
  </si>
  <si>
    <t>Pieza 20</t>
  </si>
  <si>
    <t>Pieza 21</t>
  </si>
  <si>
    <t>Pieza 22</t>
  </si>
  <si>
    <t>OF</t>
  </si>
  <si>
    <t>ARTICULO</t>
  </si>
  <si>
    <t>CANTIDAD</t>
  </si>
  <si>
    <t>Código artículo</t>
  </si>
  <si>
    <t>Elemento</t>
  </si>
  <si>
    <t>Fecha solicitada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</si>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</sst>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000000"/>
  </numFmts>
  <fonts count="23" x14ac:knownFonts="1">
    <font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name val="Calibri"/>
      <family val="2"/>
      <scheme val="minor"/>
    </font>
    <font>
      <sz val="9"/>
      <name val="Arial Narrow"/>
      <family val="2"/>
    </font>
    <font>
      <b/>
      <sz val="22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9"/>
      <color theme="1"/>
      <name val="Arial Narrow"/>
      <family val="2"/>
    </font>
    <font>
      <sz val="11"/>
      <color theme="1"/>
      <name val="Arial Narrow"/>
      <family val="2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 Narrow"/>
      <family val="2"/>
    </font>
    <font>
      <sz val="9"/>
      <color theme="2" tint="-0.89999084444715716"/>
      <name val="Arial Narrow"/>
      <family val="2"/>
    </font>
    <font>
      <sz val="10"/>
      <color theme="2" tint="-0.89999084444715716"/>
      <name val="Arial Narrow"/>
      <family val="2"/>
    </font>
    <font>
      <sz val="11"/>
      <color theme="2" tint="-0.89999084444715716"/>
      <name val="Calibri"/>
      <family val="2"/>
      <scheme val="minor"/>
    </font>
    <font>
      <sz val="10"/>
      <color theme="2" tint="-0.89999084444715716"/>
      <name val="Calibri"/>
      <family val="2"/>
      <scheme val="minor"/>
    </font>
    <font>
      <sz val="22"/>
      <color theme="2" tint="-0.89999084444715716"/>
      <name val="Arial Narrow"/>
      <family val="2"/>
    </font>
    <font>
      <b/>
      <sz val="9"/>
      <color theme="2" tint="-0.89999084444715716"/>
      <name val="Arial Narrow"/>
      <family val="2"/>
    </font>
    <font>
      <b/>
      <sz val="22"/>
      <color theme="2" tint="-0.89999084444715716"/>
      <name val="Arial Narrow"/>
      <family val="2"/>
    </font>
    <font>
      <b/>
      <sz val="20"/>
      <color theme="2" tint="-0.89999084444715716"/>
      <name val="Arial Narrow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29">
    <border>
      <left/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/>
      <right style="double">
        <color theme="2" tint="-0.499984740745262"/>
      </right>
      <top/>
      <bottom/>
      <diagonal/>
    </border>
    <border>
      <left style="double">
        <color theme="2" tint="-0.499984740745262"/>
      </left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/>
      <right/>
      <top/>
      <bottom style="thin">
        <color theme="2" tint="-0.249977111117893"/>
      </bottom>
      <diagonal/>
    </border>
    <border>
      <left style="double">
        <color theme="2" tint="-0.499984740745262"/>
      </left>
      <right/>
      <top style="double">
        <color theme="2" tint="-0.499984740745262"/>
      </top>
      <bottom/>
      <diagonal/>
    </border>
    <border>
      <left/>
      <right/>
      <top style="double">
        <color theme="2" tint="-0.499984740745262"/>
      </top>
      <bottom/>
      <diagonal/>
    </border>
    <border>
      <left/>
      <right style="double">
        <color theme="2" tint="-0.499984740745262"/>
      </right>
      <top style="double">
        <color theme="2" tint="-0.499984740745262"/>
      </top>
      <bottom/>
      <diagonal/>
    </border>
    <border>
      <left style="double">
        <color theme="2" tint="-0.499984740745262"/>
      </left>
      <right/>
      <top/>
      <bottom style="double">
        <color theme="2" tint="-0.499984740745262"/>
      </bottom>
      <diagonal/>
    </border>
    <border>
      <left/>
      <right/>
      <top/>
      <bottom style="double">
        <color theme="2" tint="-0.499984740745262"/>
      </bottom>
      <diagonal/>
    </border>
    <border>
      <left/>
      <right style="double">
        <color theme="2" tint="-0.499984740745262"/>
      </right>
      <top/>
      <bottom style="double">
        <color theme="2" tint="-0.499984740745262"/>
      </bottom>
      <diagonal/>
    </border>
    <border>
      <left/>
      <right/>
      <top/>
      <bottom style="thin">
        <color theme="2" tint="-9.9978637043366805E-2"/>
      </bottom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49" fontId="0" fillId="0" borderId="0" xfId="0" applyNumberFormat="1"/>
    <xf numFmtId="164" fontId="0" fillId="0" borderId="0" xfId="0" applyNumberFormat="1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0" fillId="0" borderId="3" xfId="0" applyBorder="1"/>
    <xf numFmtId="0" fontId="0" fillId="0" borderId="1" xfId="0" applyBorder="1"/>
    <xf numFmtId="0" fontId="2" fillId="2" borderId="3" xfId="0" applyFont="1" applyFill="1" applyBorder="1"/>
    <xf numFmtId="0" fontId="2" fillId="0" borderId="3" xfId="0" applyFont="1" applyBorder="1"/>
    <xf numFmtId="0" fontId="2" fillId="0" borderId="1" xfId="0" applyFont="1" applyBorder="1"/>
    <xf numFmtId="0" fontId="1" fillId="0" borderId="4" xfId="0" applyFont="1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1" fillId="0" borderId="6" xfId="0" applyFont="1" applyBorder="1"/>
    <xf numFmtId="0" fontId="0" fillId="0" borderId="6" xfId="0" applyBorder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0" xfId="0" applyFont="1" applyFill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2" xfId="0" applyFont="1" applyFill="1" applyBorder="1"/>
    <xf numFmtId="0" fontId="2" fillId="0" borderId="6" xfId="0" applyFont="1" applyBorder="1"/>
    <xf numFmtId="0" fontId="2" fillId="4" borderId="0" xfId="0" applyFont="1" applyFill="1"/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vertical="center" textRotation="90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textRotation="90" wrapText="1"/>
    </xf>
    <xf numFmtId="0" fontId="10" fillId="0" borderId="7" xfId="0" applyFont="1" applyBorder="1" applyAlignment="1">
      <alignment horizontal="right"/>
    </xf>
    <xf numFmtId="0" fontId="10" fillId="0" borderId="0" xfId="0" applyFont="1" applyAlignment="1">
      <alignment horizontal="right"/>
    </xf>
    <xf numFmtId="165" fontId="11" fillId="0" borderId="7" xfId="0" applyNumberFormat="1" applyFont="1" applyBorder="1" applyAlignment="1" applyProtection="1">
      <alignment horizontal="center"/>
      <protection locked="0"/>
    </xf>
    <xf numFmtId="0" fontId="10" fillId="0" borderId="7" xfId="0" applyFont="1" applyBorder="1" applyAlignment="1">
      <alignment horizontal="center"/>
    </xf>
    <xf numFmtId="0" fontId="11" fillId="0" borderId="7" xfId="0" applyFont="1" applyBorder="1" applyAlignment="1" applyProtection="1">
      <alignment horizontal="center"/>
      <protection locked="0"/>
    </xf>
    <xf numFmtId="0" fontId="6" fillId="0" borderId="7" xfId="0" quotePrefix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13" fillId="6" borderId="7" xfId="0" applyFont="1" applyFill="1" applyBorder="1" applyAlignment="1">
      <alignment horizontal="left" vertical="center" wrapText="1"/>
    </xf>
    <xf numFmtId="0" fontId="14" fillId="0" borderId="0" xfId="0" applyFont="1"/>
    <xf numFmtId="0" fontId="15" fillId="0" borderId="0" xfId="0" applyFont="1"/>
    <xf numFmtId="0" fontId="13" fillId="6" borderId="7" xfId="0" applyFont="1" applyFill="1" applyBorder="1" applyAlignment="1">
      <alignment horizontal="left"/>
    </xf>
    <xf numFmtId="0" fontId="13" fillId="6" borderId="7" xfId="0" applyFont="1" applyFill="1" applyBorder="1" applyAlignment="1">
      <alignment horizontal="left" vertical="center"/>
    </xf>
    <xf numFmtId="0" fontId="13" fillId="7" borderId="7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 textRotation="90" wrapText="1"/>
    </xf>
    <xf numFmtId="0" fontId="13" fillId="0" borderId="0" xfId="0" applyFont="1" applyAlignment="1">
      <alignment horizontal="left" vertical="center" wrapText="1"/>
    </xf>
    <xf numFmtId="0" fontId="12" fillId="6" borderId="15" xfId="0" applyFont="1" applyFill="1" applyBorder="1" applyAlignment="1">
      <alignment horizontal="left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0" fillId="0" borderId="15" xfId="0" applyBorder="1"/>
    <xf numFmtId="0" fontId="11" fillId="6" borderId="7" xfId="0" applyFont="1" applyFill="1" applyBorder="1" applyAlignment="1" applyProtection="1">
      <alignment horizontal="center"/>
      <protection locked="0"/>
    </xf>
    <xf numFmtId="0" fontId="6" fillId="6" borderId="7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right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0" xfId="0" applyAlignment="1">
      <alignment horizontal="right"/>
    </xf>
    <xf numFmtId="0" fontId="0" fillId="9" borderId="0" xfId="0" applyFill="1"/>
    <xf numFmtId="0" fontId="0" fillId="0" borderId="25" xfId="0" applyBorder="1"/>
    <xf numFmtId="0" fontId="0" fillId="0" borderId="26" xfId="0" applyBorder="1"/>
    <xf numFmtId="0" fontId="0" fillId="0" borderId="27" xfId="0" applyBorder="1"/>
    <xf numFmtId="22" fontId="0" fillId="0" borderId="0" xfId="0" applyNumberFormat="1"/>
    <xf numFmtId="0" fontId="22" fillId="0" borderId="0" xfId="0" applyFont="1" applyAlignment="1">
      <alignment horizontal="left"/>
    </xf>
    <xf numFmtId="0" fontId="17" fillId="5" borderId="8" xfId="0" applyFont="1" applyFill="1" applyBorder="1" applyAlignment="1">
      <alignment horizontal="center" vertical="center" textRotation="90" wrapText="1"/>
    </xf>
    <xf numFmtId="0" fontId="17" fillId="5" borderId="9" xfId="0" applyFont="1" applyFill="1" applyBorder="1" applyAlignment="1">
      <alignment horizontal="center" vertical="center" textRotation="90" wrapText="1"/>
    </xf>
    <xf numFmtId="0" fontId="17" fillId="5" borderId="10" xfId="0" applyFont="1" applyFill="1" applyBorder="1" applyAlignment="1">
      <alignment horizontal="center" vertical="center" textRotation="90" wrapText="1"/>
    </xf>
    <xf numFmtId="0" fontId="17" fillId="5" borderId="7" xfId="0" applyFont="1" applyFill="1" applyBorder="1" applyAlignment="1">
      <alignment horizontal="center" vertical="center" textRotation="90" wrapText="1"/>
    </xf>
    <xf numFmtId="0" fontId="4" fillId="0" borderId="0" xfId="0" applyFont="1" applyAlignment="1">
      <alignment horizontal="center" vertical="center" wrapText="1"/>
    </xf>
    <xf numFmtId="0" fontId="18" fillId="5" borderId="0" xfId="0" applyFont="1" applyFill="1" applyAlignment="1">
      <alignment horizontal="center" vertical="center" textRotation="90" wrapText="1"/>
    </xf>
    <xf numFmtId="0" fontId="18" fillId="5" borderId="28" xfId="0" applyFont="1" applyFill="1" applyBorder="1" applyAlignment="1">
      <alignment horizontal="center" vertical="center" textRotation="90" wrapText="1"/>
    </xf>
    <xf numFmtId="164" fontId="9" fillId="8" borderId="12" xfId="0" applyNumberFormat="1" applyFont="1" applyFill="1" applyBorder="1" applyAlignment="1">
      <alignment horizontal="center" vertical="center"/>
    </xf>
    <xf numFmtId="164" fontId="9" fillId="8" borderId="14" xfId="0" applyNumberFormat="1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left" vertical="center"/>
    </xf>
    <xf numFmtId="0" fontId="9" fillId="8" borderId="13" xfId="0" applyFont="1" applyFill="1" applyBorder="1" applyAlignment="1">
      <alignment horizontal="left" vertical="center"/>
    </xf>
    <xf numFmtId="0" fontId="19" fillId="10" borderId="15" xfId="0" applyFont="1" applyFill="1" applyBorder="1" applyAlignment="1">
      <alignment horizontal="center" vertical="center"/>
    </xf>
    <xf numFmtId="0" fontId="19" fillId="9" borderId="8" xfId="0" applyFont="1" applyFill="1" applyBorder="1" applyAlignment="1">
      <alignment horizontal="center" vertical="center"/>
    </xf>
    <xf numFmtId="0" fontId="19" fillId="9" borderId="9" xfId="0" applyFont="1" applyFill="1" applyBorder="1" applyAlignment="1">
      <alignment horizontal="center" vertical="center"/>
    </xf>
    <xf numFmtId="0" fontId="19" fillId="10" borderId="16" xfId="0" applyFont="1" applyFill="1" applyBorder="1" applyAlignment="1">
      <alignment horizontal="center" vertical="center"/>
    </xf>
    <xf numFmtId="0" fontId="19" fillId="10" borderId="17" xfId="0" applyFont="1" applyFill="1" applyBorder="1" applyAlignment="1">
      <alignment horizontal="center" vertical="center"/>
    </xf>
    <xf numFmtId="0" fontId="19" fillId="10" borderId="18" xfId="0" applyFont="1" applyFill="1" applyBorder="1" applyAlignment="1">
      <alignment horizontal="center" vertical="center"/>
    </xf>
    <xf numFmtId="0" fontId="19" fillId="10" borderId="19" xfId="0" applyFont="1" applyFill="1" applyBorder="1" applyAlignment="1">
      <alignment horizontal="center" vertical="center"/>
    </xf>
    <xf numFmtId="0" fontId="0" fillId="0" borderId="15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64" fontId="0" fillId="0" borderId="0" xfId="0" applyNumberFormat="1" applyAlignment="1">
      <alignment horizontal="left" vertical="center"/>
    </xf>
    <xf numFmtId="0" fontId="19" fillId="10" borderId="20" xfId="0" applyFont="1" applyFill="1" applyBorder="1" applyAlignment="1">
      <alignment horizontal="center" vertical="center"/>
    </xf>
    <xf numFmtId="0" fontId="19" fillId="10" borderId="21" xfId="0" applyFont="1" applyFill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10" borderId="0" xfId="0" applyFill="1" applyAlignment="1">
      <alignment horizontal="center"/>
    </xf>
  </cellXfs>
  <cellStyles count="2">
    <cellStyle name="Millares" xfId="1" builtinId="3"/>
    <cellStyle name="Normal" xfId="0" builtinId="0"/>
  </cellStyles>
  <dxfs count="11">
    <dxf>
      <fill>
        <patternFill>
          <bgColor theme="9" tint="0.59996337778862885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EE6C6C"/>
        </patternFill>
      </fill>
    </dxf>
    <dxf>
      <fill>
        <patternFill>
          <bgColor rgb="FFF17373"/>
        </patternFill>
      </fill>
    </dxf>
    <dxf>
      <fill>
        <patternFill>
          <bgColor rgb="FFF1696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16969"/>
      <color rgb="FFF17373"/>
      <color rgb="FFEE6C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123826</xdr:colOff>
      <xdr:row>2</xdr:row>
      <xdr:rowOff>47625</xdr:rowOff>
    </xdr:from>
    <xdr:to>
      <xdr:col>14</xdr:col>
      <xdr:colOff>773835</xdr:colOff>
      <xdr:row>11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88DEF68-B4C6-4529-9AC6-F4B5F1257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151" y="438150"/>
          <a:ext cx="2031134" cy="183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647700</xdr:colOff>
      <xdr:row>0</xdr:row>
      <xdr:rowOff>192101</xdr:rowOff>
    </xdr:from>
    <xdr:to>
      <xdr:col>10</xdr:col>
      <xdr:colOff>816066</xdr:colOff>
      <xdr:row>16</xdr:row>
      <xdr:rowOff>171450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30FDBB-0757-54F3-3F41-DEC3CFA0E0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38" t="13133" r="11619" b="14337"/>
        <a:stretch>
          <a:fillRect/>
        </a:stretch>
      </xdr:blipFill>
      <xdr:spPr>
        <a:xfrm>
          <a:off x="5181600" y="192101"/>
          <a:ext cx="3225891" cy="30368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6528</xdr:colOff>
      <xdr:row>1</xdr:row>
      <xdr:rowOff>66675</xdr:rowOff>
    </xdr:from>
    <xdr:to>
      <xdr:col>1</xdr:col>
      <xdr:colOff>771525</xdr:colOff>
      <xdr:row>4</xdr:row>
      <xdr:rowOff>187553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D73B5A0E-D074-4B1C-8AC6-771203EDE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503" y="266700"/>
          <a:ext cx="764997" cy="6923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6528</xdr:colOff>
      <xdr:row>1</xdr:row>
      <xdr:rowOff>66675</xdr:rowOff>
    </xdr:from>
    <xdr:to>
      <xdr:col>1</xdr:col>
      <xdr:colOff>771525</xdr:colOff>
      <xdr:row>4</xdr:row>
      <xdr:rowOff>187553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682378A-330E-4CC7-9D56-253110030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28" y="257175"/>
          <a:ext cx="764997" cy="6923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6528</xdr:colOff>
      <xdr:row>1</xdr:row>
      <xdr:rowOff>66675</xdr:rowOff>
    </xdr:from>
    <xdr:to>
      <xdr:col>1</xdr:col>
      <xdr:colOff>771525</xdr:colOff>
      <xdr:row>4</xdr:row>
      <xdr:rowOff>187553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6160FA9-4706-4D2E-98DD-C1A21E25E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28" y="257175"/>
          <a:ext cx="764997" cy="6923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6528</xdr:colOff>
      <xdr:row>1</xdr:row>
      <xdr:rowOff>66675</xdr:rowOff>
    </xdr:from>
    <xdr:to>
      <xdr:col>1</xdr:col>
      <xdr:colOff>771525</xdr:colOff>
      <xdr:row>4</xdr:row>
      <xdr:rowOff>187553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07C865A-6278-4E57-9E63-6C5271BE8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28" y="257175"/>
          <a:ext cx="764997" cy="6923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PROGRAMAS%20CALCULO\Copia%20de%20TOLDOS%20TESTAR%2010-4.xlsm" TargetMode="External"/><Relationship Id="rId1" Type="http://schemas.openxmlformats.org/officeDocument/2006/relationships/externalLinkPath" Target="file:///X:\PROGRAMAS%20CALCULO\Copia%20de%20TOLDOS%20TESTAR%2010-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 "/>
      <sheetName val="D.COM"/>
      <sheetName val="ENROL."/>
      <sheetName val="PRO"/>
      <sheetName val="GAL"/>
      <sheetName val="XAC"/>
      <sheetName val="CORT"/>
      <sheetName val="ST250"/>
      <sheetName val="ST400"/>
      <sheetName val="MODUL"/>
      <sheetName val="PUNTO RECTO"/>
      <sheetName val="MAXISCREEM"/>
      <sheetName val="MON.350"/>
      <sheetName val="MICRO"/>
      <sheetName val="CAM.CORT."/>
      <sheetName val="CAM. TELA"/>
      <sheetName val="BAMBALINA"/>
      <sheetName val="CAM. ANTICA"/>
      <sheetName val="M1"/>
      <sheetName val="M2"/>
      <sheetName val="M3"/>
      <sheetName val="M4"/>
      <sheetName val="IMAGENES"/>
      <sheetName val="ESTR.01"/>
      <sheetName val="ESTR.02"/>
      <sheetName val="ESTR.03"/>
      <sheetName val="ESTR.04"/>
      <sheetName val="M REF"/>
      <sheetName val="TELA"/>
      <sheetName val="M.TELA"/>
      <sheetName val="RPS"/>
      <sheetName val="_56F9DC9755BA473782653E2940F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A1" t="str">
            <v>GENERAL</v>
          </cell>
          <cell r="B1" t="str">
            <v>TOLDO-VELCRO</v>
          </cell>
          <cell r="C1" t="str">
            <v>CORTINA-VENTANA</v>
          </cell>
          <cell r="D1" t="str">
            <v>CORTINA-VENTANA-VELCRO</v>
          </cell>
          <cell r="E1" t="str">
            <v>CORTINA VELCRO</v>
          </cell>
          <cell r="F1" t="str">
            <v>CORTINA TUBO VENTANA</v>
          </cell>
          <cell r="G1" t="str">
            <v xml:space="preserve">CORTINA TUBO </v>
          </cell>
          <cell r="H1" t="str">
            <v>ENROLLABLE</v>
          </cell>
          <cell r="I1" t="str">
            <v>SUPLEMENTO</v>
          </cell>
          <cell r="J1" t="str">
            <v>CAMBIO ENROLLABLE</v>
          </cell>
          <cell r="K1" t="str">
            <v>BAMBALINA</v>
          </cell>
          <cell r="L1" t="str">
            <v>ANTICA</v>
          </cell>
        </row>
        <row r="2">
          <cell r="K2" t="str">
            <v>Foto da bambalina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9">
          <cell r="C9" t="str">
            <v>GENERAL</v>
          </cell>
        </row>
      </sheetData>
      <sheetData sheetId="29">
        <row r="4">
          <cell r="H4" t="e">
            <v>#N/A</v>
          </cell>
        </row>
      </sheetData>
      <sheetData sheetId="30" refreshError="1"/>
      <sheetData sheetId="31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refreshOnLoad="1" connectionId="1" xr16:uid="{46BFB9A0-09C7-4B09-9A0C-9D1EA8FA322F}" autoFormatId="16" applyNumberFormats="0" applyBorderFormats="0" applyFontFormats="0" applyPatternFormats="0" applyAlignmentFormats="0" applyWidthHeightFormats="0">
  <queryTableRefresh nextId="6">
    <queryTableFields count="5">
      <queryTableField id="1" name="REFERENCIA" tableColumnId="1"/>
      <queryTableField id="2" name="DESCRIPCION" tableColumnId="2"/>
      <queryTableField id="3" name="ANCHO" tableColumnId="3"/>
      <queryTableField id="4" name="MATERIAL" tableColumnId="4"/>
      <queryTableField id="5" name="COLO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C171EA-CF4E-4D69-99E8-E0BD1FB344F6}" name="M_TELAS" displayName="M_TELAS" ref="A1:E377" tableType="queryTable" totalsRowShown="0">
  <autoFilter ref="A1:E377" xr:uid="{94C171EA-CF4E-4D69-99E8-E0BD1FB344F6}"/>
  <tableColumns count="5">
    <tableColumn id="1" xr3:uid="{6A3D9B0F-82FC-4520-BFB8-272548C3831A}" uniqueName="1" name="REFERENCIA" queryTableFieldId="1" dataDxfId="10"/>
    <tableColumn id="2" xr3:uid="{DE63B278-D0B9-442A-B80C-D57AF6055496}" uniqueName="2" name="DESCRIPCION" queryTableFieldId="2" dataDxfId="9"/>
    <tableColumn id="3" xr3:uid="{6CB5E6D3-3F8E-47A1-A18A-A2CB49E1A9B9}" uniqueName="3" name="ANCHO" queryTableFieldId="3"/>
    <tableColumn id="4" xr3:uid="{9BD98253-0560-4307-BBF0-2DC1B23D8962}" uniqueName="4" name="MATERIAL" queryTableFieldId="4" dataDxfId="8"/>
    <tableColumn id="5" xr3:uid="{12268C86-7E9C-4E6D-9709-26922F59FB6C}" uniqueName="5" name="COLOR" queryTableFieldId="5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EB02E-30DA-4389-BDEC-1B6FF7BA0D4A}" name="Tabla1" displayName="Tabla1" ref="A1:A4" totalsRowShown="0">
  <autoFilter ref="A1:A4" xr:uid="{0F2EB02E-30DA-4389-BDEC-1B6FF7BA0D4A}"/>
  <tableColumns count="1">
    <tableColumn id="1" xr3:uid="{81554B3B-83F9-4E5E-A3C9-5D604EAC8A8C}" name="Modelo de tol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A14ECF-368E-476A-B308-C0D7FAC73988}" name="Tabla2" displayName="Tabla2" ref="C1:C3" totalsRowShown="0">
  <autoFilter ref="C1:C3" xr:uid="{79A14ECF-368E-476A-B308-C0D7FAC73988}"/>
  <tableColumns count="1">
    <tableColumn id="1" xr3:uid="{0C1BA01C-460B-45B2-9E6A-D6BB10A16C28}" name="Lleva cof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9968F6-F115-40FF-A9D8-ED47F38A8437}" name="Tabla3" displayName="Tabla3" ref="E1:E4" totalsRowShown="0">
  <autoFilter ref="E1:E4" xr:uid="{649968F6-F115-40FF-A9D8-ED47F38A8437}"/>
  <tableColumns count="1">
    <tableColumn id="1" xr3:uid="{7AD0C263-2E66-44E9-B97E-2752CB019493}" name="Guí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30A0DB-4702-4EDD-9ECC-927D7DCE988E}" name="Tabla4" displayName="Tabla4" ref="G1:G3" totalsRowShown="0">
  <autoFilter ref="G1:G3" xr:uid="{4330A0DB-4702-4EDD-9ECC-927D7DCE988E}"/>
  <tableColumns count="1">
    <tableColumn id="1" xr3:uid="{BE592BD3-6AEB-4926-8C1B-6F50DF24640C}" name="Mecanism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43B495-0C2A-4E6C-AE6F-9ACD3517E98D}" name="Tabla5" displayName="Tabla5" ref="I1:I3" totalsRowShown="0">
  <autoFilter ref="I1:I3" xr:uid="{0043B495-0C2A-4E6C-AE6F-9ACD3517E98D}"/>
  <tableColumns count="1">
    <tableColumn id="1" xr3:uid="{0FAC847B-70E4-445A-B789-2CBEF287AFF7}" name="Entre pared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6512B4-FEF6-40EC-9936-1392D6E45DD0}" name="Tabla6" displayName="Tabla6" ref="K1:K3" totalsRowShown="0">
  <autoFilter ref="K1:K3" xr:uid="{106512B4-FEF6-40EC-9936-1392D6E45DD0}"/>
  <tableColumns count="1">
    <tableColumn id="1" xr3:uid="{1E31BE6F-7653-4EB6-BACE-AC73BF0F9E5D}" name="SWB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D807E2-368E-4F7D-A10F-4D63F85F0FE5}" name="Tabla7" displayName="Tabla7" ref="M1:M3" totalsRowShown="0">
  <autoFilter ref="M1:M3" xr:uid="{31D807E2-368E-4F7D-A10F-4D63F85F0FE5}"/>
  <tableColumns count="1">
    <tableColumn id="1" xr3:uid="{4091782A-B1B3-4CCC-99DC-AA6E4CD5FFDB}" name="Crist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3A8A18D-ABCA-45C7-97F7-F4E055F01D25}" name="Tabla8" displayName="Tabla8" ref="O1:O13" totalsRowShown="0">
  <autoFilter ref="O1:O13" xr:uid="{A3A8A18D-ABCA-45C7-97F7-F4E055F01D25}"/>
  <tableColumns count="1">
    <tableColumn id="1" xr3:uid="{6A80805A-ADA6-4783-8676-5771B545258B}" name="Medidas cris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ABF68-E091-43E0-B1BD-ADF2DCB75B08}">
  <dimension ref="A1:O37"/>
  <sheetViews>
    <sheetView showGridLines="0" tabSelected="1" zoomScaleNormal="100" workbookViewId="0">
      <selection activeCell="O4" sqref="N1:O4"/>
    </sheetView>
  </sheetViews>
  <sheetFormatPr baseColWidth="10" defaultRowHeight="15" x14ac:dyDescent="0.25"/>
  <cols>
    <col min="1" max="1" width="5.7109375" customWidth="1"/>
    <col min="2" max="2" width="20.7109375" customWidth="1"/>
    <col min="3" max="3" width="15.7109375" customWidth="1"/>
    <col min="4" max="4" width="3.7109375" customWidth="1"/>
    <col min="5" max="5" width="5.7109375" customWidth="1"/>
    <col min="6" max="6" width="20.7109375" customWidth="1"/>
    <col min="7" max="7" width="15.7109375" customWidth="1"/>
    <col min="8" max="8" width="3.7109375" customWidth="1"/>
    <col min="9" max="9" width="5.7109375" customWidth="1"/>
    <col min="10" max="10" width="20.7109375" customWidth="1"/>
    <col min="11" max="11" width="15.7109375" customWidth="1"/>
    <col min="12" max="12" width="3.7109375" customWidth="1"/>
    <col min="13" max="13" width="5.7109375" customWidth="1"/>
    <col min="14" max="14" width="20.7109375" customWidth="1"/>
    <col min="15" max="15" width="15.7109375" customWidth="1"/>
  </cols>
  <sheetData>
    <row r="1" spans="1:6" ht="15.75" customHeight="1" x14ac:dyDescent="0.25">
      <c r="A1" s="71" t="s">
        <v>95</v>
      </c>
      <c r="B1" s="45" t="s">
        <v>9</v>
      </c>
      <c r="C1" s="38"/>
      <c r="F1" t="s">
        <v>126</v>
      </c>
    </row>
    <row r="2" spans="1:6" x14ac:dyDescent="0.25">
      <c r="A2" s="72"/>
      <c r="B2" s="45" t="s">
        <v>10</v>
      </c>
      <c r="C2" s="38"/>
    </row>
    <row r="3" spans="1:6" x14ac:dyDescent="0.25">
      <c r="A3" s="72"/>
      <c r="B3" s="45" t="s">
        <v>11</v>
      </c>
      <c r="C3" s="38"/>
    </row>
    <row r="4" spans="1:6" x14ac:dyDescent="0.25">
      <c r="A4" s="72"/>
      <c r="B4" s="45" t="s">
        <v>1103</v>
      </c>
      <c r="C4" s="38"/>
    </row>
    <row r="5" spans="1:6" x14ac:dyDescent="0.25">
      <c r="A5" s="72"/>
      <c r="B5" s="45" t="s">
        <v>13</v>
      </c>
      <c r="C5" s="38"/>
    </row>
    <row r="6" spans="1:6" x14ac:dyDescent="0.25">
      <c r="A6" s="73"/>
      <c r="B6" s="45" t="s">
        <v>14</v>
      </c>
      <c r="C6" s="38"/>
    </row>
    <row r="7" spans="1:6" x14ac:dyDescent="0.25">
      <c r="A7" s="46"/>
      <c r="B7" s="47"/>
      <c r="C7" s="39"/>
    </row>
    <row r="8" spans="1:6" x14ac:dyDescent="0.25">
      <c r="A8" s="74" t="s">
        <v>96</v>
      </c>
      <c r="B8" s="45" t="s">
        <v>15</v>
      </c>
      <c r="C8" s="41"/>
    </row>
    <row r="9" spans="1:6" x14ac:dyDescent="0.25">
      <c r="A9" s="74"/>
      <c r="B9" s="45" t="s">
        <v>16</v>
      </c>
      <c r="C9" s="41"/>
    </row>
    <row r="10" spans="1:6" x14ac:dyDescent="0.25">
      <c r="A10" s="74"/>
      <c r="B10" s="45" t="s">
        <v>17</v>
      </c>
      <c r="C10" s="41"/>
    </row>
    <row r="11" spans="1:6" x14ac:dyDescent="0.25">
      <c r="A11" s="46"/>
      <c r="B11" s="46"/>
      <c r="C11" s="39"/>
    </row>
    <row r="12" spans="1:6" x14ac:dyDescent="0.25">
      <c r="A12" s="71" t="s">
        <v>101</v>
      </c>
      <c r="B12" s="45" t="s">
        <v>18</v>
      </c>
      <c r="C12" s="31"/>
      <c r="E12" s="75" t="str">
        <f>IF(COUNTIF(Descontos!$E$1:$AA$1,'Cálculos de medidas'!$C$2)=0,"Non existe este modelo","")</f>
        <v>Non existe este modelo</v>
      </c>
      <c r="F12" s="75"/>
    </row>
    <row r="13" spans="1:6" x14ac:dyDescent="0.25">
      <c r="A13" s="72"/>
      <c r="B13" s="45" t="s">
        <v>19</v>
      </c>
      <c r="C13" s="31"/>
      <c r="E13" s="75"/>
      <c r="F13" s="75"/>
    </row>
    <row r="14" spans="1:6" x14ac:dyDescent="0.25">
      <c r="A14" s="72"/>
      <c r="B14" s="48" t="s">
        <v>20</v>
      </c>
      <c r="C14" s="40"/>
      <c r="E14" s="75"/>
      <c r="F14" s="75"/>
    </row>
    <row r="15" spans="1:6" x14ac:dyDescent="0.25">
      <c r="A15" s="72"/>
      <c r="B15" s="49" t="s">
        <v>6</v>
      </c>
      <c r="C15" s="31"/>
      <c r="E15" s="75"/>
      <c r="F15" s="75"/>
    </row>
    <row r="16" spans="1:6" x14ac:dyDescent="0.25">
      <c r="A16" s="72"/>
      <c r="B16" s="45" t="s">
        <v>62</v>
      </c>
      <c r="C16" s="31"/>
      <c r="E16" s="75"/>
      <c r="F16" s="75"/>
    </row>
    <row r="17" spans="1:15" x14ac:dyDescent="0.25">
      <c r="A17" s="72"/>
      <c r="B17" s="50" t="s">
        <v>27</v>
      </c>
      <c r="C17" s="41"/>
      <c r="E17" s="75"/>
      <c r="F17" s="75"/>
    </row>
    <row r="18" spans="1:15" ht="16.5" x14ac:dyDescent="0.3">
      <c r="A18" s="32"/>
      <c r="B18" s="34"/>
      <c r="C18" s="35"/>
      <c r="E18" s="32"/>
      <c r="F18" s="34"/>
      <c r="G18" s="35"/>
      <c r="I18" s="32"/>
      <c r="J18" s="34"/>
      <c r="K18" s="35"/>
      <c r="M18" s="32"/>
      <c r="N18" s="34"/>
      <c r="O18" s="35"/>
    </row>
    <row r="19" spans="1:15" x14ac:dyDescent="0.25">
      <c r="A19" s="76" t="s">
        <v>97</v>
      </c>
      <c r="B19" s="45" t="s">
        <v>1098</v>
      </c>
      <c r="C19" s="42"/>
      <c r="E19" s="76" t="s">
        <v>98</v>
      </c>
      <c r="F19" s="45" t="s">
        <v>1098</v>
      </c>
      <c r="G19" s="42"/>
      <c r="I19" s="76" t="s">
        <v>99</v>
      </c>
      <c r="J19" s="45" t="s">
        <v>1098</v>
      </c>
      <c r="K19" s="42"/>
      <c r="M19" s="76" t="s">
        <v>100</v>
      </c>
      <c r="N19" s="45" t="s">
        <v>1098</v>
      </c>
      <c r="O19" s="42"/>
    </row>
    <row r="20" spans="1:15" x14ac:dyDescent="0.25">
      <c r="A20" s="76"/>
      <c r="B20" s="45" t="s">
        <v>21</v>
      </c>
      <c r="C20" s="42"/>
      <c r="E20" s="76"/>
      <c r="F20" s="45" t="s">
        <v>21</v>
      </c>
      <c r="G20" s="42"/>
      <c r="I20" s="76"/>
      <c r="J20" s="45" t="s">
        <v>21</v>
      </c>
      <c r="K20" s="42"/>
      <c r="M20" s="76"/>
      <c r="N20" s="45" t="s">
        <v>21</v>
      </c>
      <c r="O20" s="42"/>
    </row>
    <row r="21" spans="1:15" x14ac:dyDescent="0.25">
      <c r="A21" s="76"/>
      <c r="B21" s="45" t="s">
        <v>22</v>
      </c>
      <c r="C21" s="43"/>
      <c r="E21" s="76"/>
      <c r="F21" s="45" t="s">
        <v>22</v>
      </c>
      <c r="G21" s="43"/>
      <c r="I21" s="76"/>
      <c r="J21" s="45" t="s">
        <v>22</v>
      </c>
      <c r="K21" s="43"/>
      <c r="M21" s="76"/>
      <c r="N21" s="45" t="s">
        <v>22</v>
      </c>
      <c r="O21" s="43"/>
    </row>
    <row r="22" spans="1:15" x14ac:dyDescent="0.25">
      <c r="A22" s="76"/>
      <c r="B22" s="48"/>
      <c r="C22" s="42"/>
      <c r="E22" s="76"/>
      <c r="F22" s="48"/>
      <c r="G22" s="42"/>
      <c r="I22" s="76"/>
      <c r="J22" s="48"/>
      <c r="K22" s="42"/>
      <c r="M22" s="76"/>
      <c r="N22" s="48"/>
      <c r="O22" s="42"/>
    </row>
    <row r="23" spans="1:15" x14ac:dyDescent="0.25">
      <c r="A23" s="76"/>
      <c r="B23" s="45" t="s">
        <v>23</v>
      </c>
      <c r="C23" s="31"/>
      <c r="E23" s="76"/>
      <c r="F23" s="45" t="s">
        <v>23</v>
      </c>
      <c r="G23" s="31"/>
      <c r="I23" s="76"/>
      <c r="J23" s="45" t="s">
        <v>23</v>
      </c>
      <c r="K23" s="31"/>
      <c r="M23" s="76"/>
      <c r="N23" s="45" t="s">
        <v>23</v>
      </c>
      <c r="O23" s="31"/>
    </row>
    <row r="24" spans="1:15" x14ac:dyDescent="0.25">
      <c r="A24" s="76"/>
      <c r="B24" s="45" t="s">
        <v>24</v>
      </c>
      <c r="C24" s="44"/>
      <c r="E24" s="76"/>
      <c r="F24" s="45" t="s">
        <v>24</v>
      </c>
      <c r="G24" s="44"/>
      <c r="I24" s="76"/>
      <c r="J24" s="45" t="s">
        <v>24</v>
      </c>
      <c r="K24" s="44"/>
      <c r="M24" s="76"/>
      <c r="N24" s="45" t="s">
        <v>24</v>
      </c>
      <c r="O24" s="44"/>
    </row>
    <row r="25" spans="1:15" x14ac:dyDescent="0.25">
      <c r="A25" s="76"/>
      <c r="B25" s="49"/>
      <c r="C25" s="41"/>
      <c r="E25" s="76"/>
      <c r="F25" s="49"/>
      <c r="G25" s="41"/>
      <c r="I25" s="76"/>
      <c r="J25" s="49"/>
      <c r="K25" s="41"/>
      <c r="M25" s="76"/>
      <c r="N25" s="49"/>
      <c r="O25" s="41"/>
    </row>
    <row r="26" spans="1:15" x14ac:dyDescent="0.25">
      <c r="A26" s="76"/>
      <c r="B26" s="48" t="s">
        <v>25</v>
      </c>
      <c r="C26" s="42"/>
      <c r="E26" s="76"/>
      <c r="F26" s="48" t="s">
        <v>25</v>
      </c>
      <c r="G26" s="42"/>
      <c r="I26" s="76"/>
      <c r="J26" s="48" t="s">
        <v>25</v>
      </c>
      <c r="K26" s="42"/>
      <c r="M26" s="76"/>
      <c r="N26" s="48" t="s">
        <v>25</v>
      </c>
      <c r="O26" s="42"/>
    </row>
    <row r="27" spans="1:15" x14ac:dyDescent="0.25">
      <c r="A27" s="77"/>
      <c r="B27" s="45" t="s">
        <v>26</v>
      </c>
      <c r="C27" s="31"/>
      <c r="E27" s="77"/>
      <c r="F27" s="45" t="s">
        <v>26</v>
      </c>
      <c r="G27" s="31"/>
      <c r="I27" s="77"/>
      <c r="J27" s="45" t="s">
        <v>26</v>
      </c>
      <c r="K27" s="31"/>
      <c r="M27" s="77"/>
      <c r="N27" s="45" t="s">
        <v>26</v>
      </c>
      <c r="O27" s="31"/>
    </row>
    <row r="28" spans="1:15" x14ac:dyDescent="0.25">
      <c r="A28" s="51"/>
      <c r="B28" s="52"/>
      <c r="C28" s="30"/>
      <c r="E28" s="37"/>
      <c r="F28" s="33"/>
      <c r="G28" s="30"/>
      <c r="I28" s="37"/>
      <c r="J28" s="33"/>
      <c r="K28" s="30"/>
      <c r="M28" s="37"/>
      <c r="N28" s="33"/>
      <c r="O28" s="30"/>
    </row>
    <row r="29" spans="1:15" ht="15" customHeight="1" x14ac:dyDescent="0.25">
      <c r="A29" s="71" t="s">
        <v>112</v>
      </c>
      <c r="B29" s="48" t="s">
        <v>110</v>
      </c>
      <c r="C29" s="56" t="str">
        <f>IFERROR('Cálculos de escuadrado'!M3,"")</f>
        <v/>
      </c>
      <c r="E29" s="71" t="s">
        <v>112</v>
      </c>
      <c r="F29" s="48" t="s">
        <v>110</v>
      </c>
      <c r="G29" s="56" t="str">
        <f>IFERROR('Cálculos de escuadrado'!M7,"")</f>
        <v/>
      </c>
      <c r="I29" s="71" t="s">
        <v>112</v>
      </c>
      <c r="J29" s="48" t="s">
        <v>110</v>
      </c>
      <c r="K29" s="56" t="str">
        <f>IFERROR('Cálculos de escuadrado'!M11,"")</f>
        <v/>
      </c>
      <c r="M29" s="71" t="s">
        <v>112</v>
      </c>
      <c r="N29" s="48" t="s">
        <v>110</v>
      </c>
      <c r="O29" s="56" t="str">
        <f>IFERROR('Cálculos de escuadrado'!M15,"")</f>
        <v/>
      </c>
    </row>
    <row r="30" spans="1:15" x14ac:dyDescent="0.25">
      <c r="A30" s="72"/>
      <c r="B30" s="45" t="s">
        <v>111</v>
      </c>
      <c r="C30" s="57" t="str">
        <f>IFERROR('Cálculos de escuadrado'!M4,"")</f>
        <v/>
      </c>
      <c r="E30" s="72"/>
      <c r="F30" s="45" t="s">
        <v>111</v>
      </c>
      <c r="G30" s="57" t="str">
        <f>IFERROR('Cálculos de escuadrado'!M8,"")</f>
        <v/>
      </c>
      <c r="I30" s="72"/>
      <c r="J30" s="45" t="s">
        <v>111</v>
      </c>
      <c r="K30" s="57" t="str">
        <f>IFERROR('Cálculos de escuadrado'!M12,"")</f>
        <v/>
      </c>
      <c r="M30" s="72"/>
      <c r="N30" s="45" t="s">
        <v>111</v>
      </c>
      <c r="O30" s="57" t="str">
        <f>IFERROR('Cálculos de escuadrado'!M16,"")</f>
        <v/>
      </c>
    </row>
    <row r="32" spans="1:15" x14ac:dyDescent="0.25">
      <c r="B32" s="53" t="s">
        <v>109</v>
      </c>
      <c r="C32" s="54" t="str">
        <f>IFERROR(_xlfn.IFS(ABS('Cálculos de escuadrado'!U3-Datos!C21)&lt;=0.5,"&lt;5mm",ABS('Cálculos de escuadrado'!U3-Datos!C21)&lt;=1,"&lt;1cm",ABS('Cálculos de escuadrado'!U3-Datos!C21&gt;1),"&gt;1cm"),"")</f>
        <v/>
      </c>
      <c r="F32" s="53" t="s">
        <v>109</v>
      </c>
      <c r="G32" s="54" t="str">
        <f>IFERROR(_xlfn.IFS(ABS('Cálculos de escuadrado'!U7-Datos!G21)&lt;=0.5,"&lt;5mm",ABS('Cálculos de escuadrado'!U7-Datos!G21)&lt;=1,"&lt;1cm",ABS('Cálculos de escuadrado'!U7-Datos!G21&gt;1),"&gt;1cm"),"")</f>
        <v/>
      </c>
      <c r="J32" s="53" t="s">
        <v>109</v>
      </c>
      <c r="K32" s="54" t="str">
        <f>IFERROR(_xlfn.IFS(ABS('Cálculos de escuadrado'!U11-Datos!K21)&lt;=0.5,"&lt;5mm",ABS('Cálculos de escuadrado'!U11-Datos!K21)&lt;=1,"&lt;1cm",ABS('Cálculos de escuadrado'!U11-Datos!K21)&gt;1,"&gt;1cm"),"")</f>
        <v/>
      </c>
      <c r="N32" s="53" t="s">
        <v>109</v>
      </c>
      <c r="O32" s="54" t="str">
        <f>IFERROR(_xlfn.IFS('Cálculos de escuadrado'!U15-Datos!O21&lt;=0.5,"&lt;5mm",'Cálculos de escuadrado'!U15-Datos!O21&lt;=1,"&lt;1cm",'Cálculos de escuadrado'!U15-Datos!O21&gt;1,"&gt;1cm"),"")</f>
        <v/>
      </c>
    </row>
    <row r="33" spans="2:15" ht="15.75" thickBot="1" x14ac:dyDescent="0.3">
      <c r="C33" s="1"/>
      <c r="G33" s="1"/>
      <c r="K33" s="1"/>
      <c r="O33" s="1"/>
    </row>
    <row r="34" spans="2:15" ht="15" customHeight="1" x14ac:dyDescent="0.25">
      <c r="B34" s="80" t="s">
        <v>119</v>
      </c>
      <c r="C34" s="78">
        <f>C20+SUMIF(C29:C30,"&lt;0")</f>
        <v>0</v>
      </c>
      <c r="F34" s="80" t="s">
        <v>119</v>
      </c>
      <c r="G34" s="78">
        <f>G20+SUMIF(G29:G30,"&lt;0")</f>
        <v>0</v>
      </c>
      <c r="J34" s="80" t="s">
        <v>119</v>
      </c>
      <c r="K34" s="78">
        <f>K20+SUMIF(K29:K30,"&lt;0")</f>
        <v>0</v>
      </c>
      <c r="N34" s="80" t="s">
        <v>119</v>
      </c>
      <c r="O34" s="78">
        <f>O20+SUMIF(O29:O30,"&lt;0")</f>
        <v>0</v>
      </c>
    </row>
    <row r="35" spans="2:15" ht="15.75" customHeight="1" thickBot="1" x14ac:dyDescent="0.3">
      <c r="B35" s="81"/>
      <c r="C35" s="79"/>
      <c r="F35" s="81"/>
      <c r="G35" s="79"/>
      <c r="J35" s="81"/>
      <c r="K35" s="79"/>
      <c r="N35" s="81"/>
      <c r="O35" s="79"/>
    </row>
    <row r="37" spans="2:15" x14ac:dyDescent="0.25">
      <c r="C37" s="58" t="str">
        <f>IFERROR('Cálculos de escuadrado'!U3-Datos!C21,"")</f>
        <v/>
      </c>
      <c r="G37" s="58" t="str">
        <f>IFERROR('Cálculos de escuadrado'!U7-G21,"")</f>
        <v/>
      </c>
      <c r="K37" s="58" t="str">
        <f>IFERROR('Cálculos de escuadrado'!U11-Datos!K21,"")</f>
        <v/>
      </c>
      <c r="O37" s="58" t="str">
        <f>IFERROR('Cálculos de escuadrado'!U15-Datos!O21,"")</f>
        <v/>
      </c>
    </row>
  </sheetData>
  <protectedRanges>
    <protectedRange algorithmName="SHA-512" hashValue="WkreQTDM+9PNLUwamxoAKqoCVCeaXlnwjwWjn0YogpK9IKZIn14YuKk4DDGuqP69l3ZkVjCxAsBrN6hWLw/A1Q==" saltValue="AaXrcZXhW5NJ27oMKmcq2w==" spinCount="100000" sqref="C32 G32 K32 O32" name="Rango1"/>
  </protectedRanges>
  <mergeCells count="20">
    <mergeCell ref="O34:O35"/>
    <mergeCell ref="B34:B35"/>
    <mergeCell ref="F34:F35"/>
    <mergeCell ref="J34:J35"/>
    <mergeCell ref="N34:N35"/>
    <mergeCell ref="C34:C35"/>
    <mergeCell ref="G34:G35"/>
    <mergeCell ref="K34:K35"/>
    <mergeCell ref="A29:A30"/>
    <mergeCell ref="E29:E30"/>
    <mergeCell ref="I29:I30"/>
    <mergeCell ref="M29:M30"/>
    <mergeCell ref="A1:A6"/>
    <mergeCell ref="A8:A10"/>
    <mergeCell ref="A12:A17"/>
    <mergeCell ref="E12:F17"/>
    <mergeCell ref="A19:A27"/>
    <mergeCell ref="E19:E27"/>
    <mergeCell ref="I19:I27"/>
    <mergeCell ref="M19:M27"/>
  </mergeCells>
  <conditionalFormatting sqref="C29:C30 G29:G30 K29:K30 O29:O30">
    <cfRule type="cellIs" dxfId="6" priority="1" operator="lessThan">
      <formula>-3</formula>
    </cfRule>
    <cfRule type="cellIs" dxfId="5" priority="2" operator="greaterThan">
      <formula>3</formula>
    </cfRule>
  </conditionalFormatting>
  <conditionalFormatting sqref="C32 G32 K32 O32">
    <cfRule type="cellIs" dxfId="4" priority="3" operator="equal">
      <formula>"&gt;1cm"</formula>
    </cfRule>
    <cfRule type="cellIs" dxfId="3" priority="4" operator="equal">
      <formula>"&lt;1cm"</formula>
    </cfRule>
    <cfRule type="cellIs" dxfId="2" priority="5" operator="equal">
      <formula>"&lt;5mm"</formula>
    </cfRule>
  </conditionalFormatting>
  <conditionalFormatting sqref="E12">
    <cfRule type="containsText" dxfId="1" priority="49" operator="containsText" text="Non existe este modelo">
      <formula>NOT(ISERROR(SEARCH("Non existe este modelo",E12)))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D404688D-5897-48B0-A196-F55970B2AF2C}">
          <x14:formula1>
            <xm:f>Características!$A$2:$A$4</xm:f>
          </x14:formula1>
          <xm:sqref>C12</xm:sqref>
        </x14:dataValidation>
        <x14:dataValidation type="list" xr:uid="{039B2473-DF0C-458D-8D6B-AAC22341FB55}">
          <x14:formula1>
            <xm:f>Características!$C$2:$C$3</xm:f>
          </x14:formula1>
          <xm:sqref>C13</xm:sqref>
        </x14:dataValidation>
        <x14:dataValidation type="list" xr:uid="{9F451738-9066-4728-A4D4-160900B13EF9}">
          <x14:formula1>
            <xm:f>Características!$E$2:$E$4</xm:f>
          </x14:formula1>
          <xm:sqref>C14</xm:sqref>
        </x14:dataValidation>
        <x14:dataValidation type="list" xr:uid="{90FC5FF4-0EB1-4566-B6FA-AA08B639E107}">
          <x14:formula1>
            <xm:f>Características!$G$2:$G$3</xm:f>
          </x14:formula1>
          <xm:sqref>C15</xm:sqref>
        </x14:dataValidation>
        <x14:dataValidation type="list" xr:uid="{657BE5DF-7189-4281-B895-301B3233D2FE}">
          <x14:formula1>
            <xm:f>Características!$I$2:$I$3</xm:f>
          </x14:formula1>
          <xm:sqref>C17</xm:sqref>
        </x14:dataValidation>
        <x14:dataValidation type="list" xr:uid="{E28D49D4-8C73-41C2-9DEE-E49A6427C6B2}">
          <x14:formula1>
            <xm:f>Características!$K$2:$K$3</xm:f>
          </x14:formula1>
          <xm:sqref>C16:C17</xm:sqref>
        </x14:dataValidation>
        <x14:dataValidation type="list" xr:uid="{0090C1EA-2786-4913-BE70-99BAC73069DB}">
          <x14:formula1>
            <xm:f>Características!$M$2:$M$3</xm:f>
          </x14:formula1>
          <xm:sqref>C9</xm:sqref>
        </x14:dataValidation>
        <x14:dataValidation type="list" allowBlank="1" showInputMessage="1" showErrorMessage="1" xr:uid="{95F04660-E9F5-450B-ACC2-5E2C0B128D31}">
          <x14:formula1>
            <xm:f>'M TELAS'!$B:$B</xm:f>
          </x14:formula1>
          <xm:sqref>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F3AD-E765-484D-8CCC-88E52E711F9D}">
  <dimension ref="A1:I24"/>
  <sheetViews>
    <sheetView showGridLines="0" workbookViewId="0">
      <selection activeCell="N13" sqref="N13"/>
    </sheetView>
  </sheetViews>
  <sheetFormatPr baseColWidth="10" defaultRowHeight="15" x14ac:dyDescent="0.25"/>
  <cols>
    <col min="1" max="1" width="1.7109375" customWidth="1"/>
    <col min="2" max="2" width="14.28515625" customWidth="1"/>
    <col min="3" max="5" width="10.7109375" customWidth="1"/>
    <col min="6" max="8" width="15.7109375" customWidth="1"/>
    <col min="9" max="9" width="1.7109375" customWidth="1"/>
  </cols>
  <sheetData>
    <row r="1" spans="1:9" ht="9.9499999999999993" customHeight="1" thickTop="1" x14ac:dyDescent="0.25">
      <c r="A1" s="61"/>
      <c r="B1" s="62"/>
      <c r="C1" s="62"/>
      <c r="D1" s="62"/>
      <c r="E1" s="62"/>
      <c r="F1" s="62"/>
      <c r="G1" s="62"/>
      <c r="H1" s="62"/>
      <c r="I1" s="63"/>
    </row>
    <row r="2" spans="1:9" ht="15" customHeight="1" x14ac:dyDescent="0.25">
      <c r="A2" s="20"/>
      <c r="C2" t="s">
        <v>1098</v>
      </c>
      <c r="D2" s="70">
        <f>Datos!C19</f>
        <v>0</v>
      </c>
      <c r="F2" s="64" t="s">
        <v>9</v>
      </c>
      <c r="G2" s="85">
        <f>Datos!C1</f>
        <v>0</v>
      </c>
      <c r="H2" s="86"/>
      <c r="I2" s="18"/>
    </row>
    <row r="3" spans="1:9" ht="15" customHeight="1" x14ac:dyDescent="0.25">
      <c r="A3" s="20"/>
      <c r="C3" t="s">
        <v>10</v>
      </c>
      <c r="D3" s="90">
        <f>Datos!C2</f>
        <v>0</v>
      </c>
      <c r="E3" s="90"/>
      <c r="F3" s="91"/>
      <c r="G3" s="87"/>
      <c r="H3" s="88"/>
      <c r="I3" s="18"/>
    </row>
    <row r="4" spans="1:9" x14ac:dyDescent="0.25">
      <c r="A4" s="20"/>
      <c r="C4" t="s">
        <v>11</v>
      </c>
      <c r="D4" s="90">
        <f>Datos!C3</f>
        <v>0</v>
      </c>
      <c r="E4" s="90"/>
      <c r="F4" s="90"/>
      <c r="G4" t="s">
        <v>116</v>
      </c>
      <c r="H4">
        <f>Datos!C4</f>
        <v>0</v>
      </c>
      <c r="I4" s="18"/>
    </row>
    <row r="5" spans="1:9" x14ac:dyDescent="0.25">
      <c r="A5" s="20"/>
      <c r="C5" t="s">
        <v>13</v>
      </c>
      <c r="D5" s="90">
        <f>Datos!C5</f>
        <v>0</v>
      </c>
      <c r="E5" s="90"/>
      <c r="F5" s="90"/>
      <c r="G5" t="s">
        <v>12</v>
      </c>
      <c r="H5" s="69" t="str">
        <f ca="1">TEXT(NOW(),"dd/mm/aaa")</f>
        <v>18/03/2026</v>
      </c>
      <c r="I5" s="18"/>
    </row>
    <row r="6" spans="1:9" ht="15" customHeight="1" x14ac:dyDescent="0.25">
      <c r="A6" s="20"/>
      <c r="B6" s="85" t="str">
        <f>"TOLDO 1"&amp;" de "&amp;Datos!C6</f>
        <v xml:space="preserve">TOLDO 1 de </v>
      </c>
      <c r="C6" s="93"/>
      <c r="D6" s="93"/>
      <c r="E6" s="93"/>
      <c r="F6" s="93"/>
      <c r="G6" s="93"/>
      <c r="H6" s="86"/>
      <c r="I6" s="18"/>
    </row>
    <row r="7" spans="1:9" ht="15" customHeight="1" x14ac:dyDescent="0.25">
      <c r="A7" s="20"/>
      <c r="B7" s="87"/>
      <c r="C7" s="94"/>
      <c r="D7" s="94"/>
      <c r="E7" s="94"/>
      <c r="F7" s="94"/>
      <c r="G7" s="94"/>
      <c r="H7" s="88"/>
      <c r="I7" s="18"/>
    </row>
    <row r="8" spans="1:9" ht="9.9499999999999993" customHeight="1" x14ac:dyDescent="0.25">
      <c r="A8" s="20"/>
      <c r="I8" s="18"/>
    </row>
    <row r="9" spans="1:9" ht="15" customHeight="1" x14ac:dyDescent="0.25">
      <c r="A9" s="20"/>
      <c r="B9" s="82" t="s">
        <v>114</v>
      </c>
      <c r="C9" s="89" t="s">
        <v>38</v>
      </c>
      <c r="D9" s="89"/>
      <c r="E9" s="89"/>
      <c r="F9" s="55">
        <f>IF(Datos!C6&lt;1,0,ROUNDDOWN('Cálculos de medidas'!J9,1))</f>
        <v>0</v>
      </c>
      <c r="G9" s="95" t="e">
        <f>ROUNDUP(ROUNDUP(F9/VLOOKUP(Datos!C8,'M TELAS'!B:C,2),0)*F10/100-IF(ISNUMBER(F11),1.4*ROUNDUP(F9/VLOOKUP(Datos!C8,'M TELAS'!B:C,2),0),0),1)</f>
        <v>#N/A</v>
      </c>
      <c r="H9" s="92" t="s">
        <v>1104</v>
      </c>
      <c r="I9" s="18"/>
    </row>
    <row r="10" spans="1:9" ht="15" customHeight="1" x14ac:dyDescent="0.25">
      <c r="A10" s="20"/>
      <c r="B10" s="82"/>
      <c r="C10" s="89" t="s">
        <v>115</v>
      </c>
      <c r="D10" s="89"/>
      <c r="E10" s="89"/>
      <c r="F10" s="55">
        <f>IFERROR(ROUNDDOWN('Cálculos de medidas'!J10,1),0)</f>
        <v>0</v>
      </c>
      <c r="G10" s="95"/>
      <c r="H10" s="92"/>
      <c r="I10" s="18"/>
    </row>
    <row r="11" spans="1:9" x14ac:dyDescent="0.25">
      <c r="A11" s="20"/>
      <c r="B11" s="82"/>
      <c r="C11" s="89" t="s">
        <v>16</v>
      </c>
      <c r="D11" s="89"/>
      <c r="E11" s="89"/>
      <c r="F11" s="60" t="e">
        <f>_xlfn.IFS(Datos!C9="NO","No",Datos!C9="SI",Características!O15)</f>
        <v>#N/A</v>
      </c>
      <c r="I11" s="18"/>
    </row>
    <row r="12" spans="1:9" ht="9.9499999999999993" customHeight="1" x14ac:dyDescent="0.25">
      <c r="A12" s="20"/>
      <c r="I12" s="18"/>
    </row>
    <row r="13" spans="1:9" ht="15" customHeight="1" x14ac:dyDescent="0.25">
      <c r="A13" s="20"/>
      <c r="B13" s="82" t="s">
        <v>117</v>
      </c>
      <c r="C13" s="89" t="s">
        <v>19</v>
      </c>
      <c r="D13" s="89"/>
      <c r="E13" s="89"/>
      <c r="F13" s="55" t="e">
        <f>ROUNDDOWN('Cálculos de medidas'!J11,1)</f>
        <v>#N/A</v>
      </c>
      <c r="I13" s="18"/>
    </row>
    <row r="14" spans="1:9" ht="15" customHeight="1" x14ac:dyDescent="0.25">
      <c r="A14" s="20"/>
      <c r="B14" s="82"/>
      <c r="C14" s="89" t="s">
        <v>40</v>
      </c>
      <c r="D14" s="89"/>
      <c r="E14" s="89"/>
      <c r="F14" s="55" t="e">
        <f>ROUNDDOWN('Cálculos de medidas'!J12,1)</f>
        <v>#N/A</v>
      </c>
      <c r="I14" s="18"/>
    </row>
    <row r="15" spans="1:9" ht="15" customHeight="1" x14ac:dyDescent="0.25">
      <c r="A15" s="20"/>
      <c r="B15" s="82"/>
      <c r="C15" s="89" t="s">
        <v>41</v>
      </c>
      <c r="D15" s="89"/>
      <c r="E15" s="89"/>
      <c r="F15" s="55" t="e">
        <f>ROUNDDOWN('Cálculos de medidas'!J13,1)</f>
        <v>#N/A</v>
      </c>
      <c r="I15" s="18"/>
    </row>
    <row r="16" spans="1:9" ht="15" customHeight="1" x14ac:dyDescent="0.25">
      <c r="A16" s="20"/>
      <c r="B16" s="82"/>
      <c r="C16" s="89" t="s">
        <v>42</v>
      </c>
      <c r="D16" s="89"/>
      <c r="E16" s="89"/>
      <c r="F16" s="55" t="e">
        <f>ROUNDDOWN('Cálculos de medidas'!J14,1)</f>
        <v>#N/A</v>
      </c>
      <c r="I16" s="18"/>
    </row>
    <row r="17" spans="1:9" ht="9.9499999999999993" customHeight="1" x14ac:dyDescent="0.25">
      <c r="A17" s="20"/>
      <c r="I17" s="18"/>
    </row>
    <row r="18" spans="1:9" x14ac:dyDescent="0.25">
      <c r="A18" s="20"/>
      <c r="B18" s="65"/>
      <c r="C18" s="65"/>
      <c r="D18" s="65"/>
      <c r="E18" s="65"/>
      <c r="F18" s="83" t="s">
        <v>60</v>
      </c>
      <c r="G18" s="65"/>
      <c r="H18" s="83" t="s">
        <v>61</v>
      </c>
      <c r="I18" s="18"/>
    </row>
    <row r="19" spans="1:9" x14ac:dyDescent="0.25">
      <c r="A19" s="20"/>
      <c r="B19" s="65"/>
      <c r="C19" s="65"/>
      <c r="D19" s="65"/>
      <c r="E19" s="65"/>
      <c r="F19" s="84"/>
      <c r="G19" s="65"/>
      <c r="H19" s="84"/>
      <c r="I19" s="18"/>
    </row>
    <row r="20" spans="1:9" ht="15" customHeight="1" x14ac:dyDescent="0.25">
      <c r="A20" s="20"/>
      <c r="B20" s="82" t="s">
        <v>118</v>
      </c>
      <c r="C20" s="89" t="s">
        <v>49</v>
      </c>
      <c r="D20" s="89"/>
      <c r="E20" s="89"/>
      <c r="F20" s="55" t="str">
        <f>IFERROR(ROUNDDOWN('Cálculos de medidas'!J16,1),"")</f>
        <v/>
      </c>
      <c r="G20" s="55"/>
      <c r="H20" s="55" t="str">
        <f>IFERROR(ROUNDDOWN('Cálculos de medidas'!J20,1),"")</f>
        <v/>
      </c>
      <c r="I20" s="18"/>
    </row>
    <row r="21" spans="1:9" ht="15" customHeight="1" x14ac:dyDescent="0.25">
      <c r="A21" s="20"/>
      <c r="B21" s="82"/>
      <c r="C21" s="89" t="s">
        <v>55</v>
      </c>
      <c r="D21" s="89"/>
      <c r="E21" s="89"/>
      <c r="F21" s="55" t="str">
        <f>IFERROR(ROUNDDOWN('Cálculos de medidas'!J17,1),"")</f>
        <v/>
      </c>
      <c r="G21" s="55"/>
      <c r="H21" s="55" t="str">
        <f>IFERROR(ROUNDDOWN('Cálculos de medidas'!J21,1),"")</f>
        <v/>
      </c>
      <c r="I21" s="18"/>
    </row>
    <row r="22" spans="1:9" x14ac:dyDescent="0.25">
      <c r="A22" s="20"/>
      <c r="B22" s="82"/>
      <c r="C22" s="89" t="s">
        <v>53</v>
      </c>
      <c r="D22" s="89"/>
      <c r="E22" s="89"/>
      <c r="F22" s="59" t="str">
        <f>IFERROR(ROUNDDOWN('Cálculos de medidas'!J22,1),"NO")</f>
        <v>NO</v>
      </c>
      <c r="G22" s="55"/>
      <c r="H22" s="59" t="str">
        <f>IFERROR(ROUNDDOWN('Cálculos de medidas'!J22,1),"NO")</f>
        <v>NO</v>
      </c>
      <c r="I22" s="18"/>
    </row>
    <row r="23" spans="1:9" ht="9.9499999999999993" customHeight="1" thickBot="1" x14ac:dyDescent="0.3">
      <c r="A23" s="66"/>
      <c r="B23" s="67"/>
      <c r="C23" s="67"/>
      <c r="D23" s="67"/>
      <c r="E23" s="67"/>
      <c r="F23" s="67"/>
      <c r="G23" s="67"/>
      <c r="H23" s="67"/>
      <c r="I23" s="68"/>
    </row>
    <row r="24" spans="1:9" ht="15.75" thickTop="1" x14ac:dyDescent="0.25"/>
  </sheetData>
  <mergeCells count="22">
    <mergeCell ref="D5:F5"/>
    <mergeCell ref="H9:H10"/>
    <mergeCell ref="B9:B11"/>
    <mergeCell ref="C11:E11"/>
    <mergeCell ref="B6:H7"/>
    <mergeCell ref="G9:G10"/>
    <mergeCell ref="B13:B16"/>
    <mergeCell ref="B20:B22"/>
    <mergeCell ref="F18:F19"/>
    <mergeCell ref="H18:H19"/>
    <mergeCell ref="G2:H3"/>
    <mergeCell ref="C22:E22"/>
    <mergeCell ref="C9:E9"/>
    <mergeCell ref="C10:E10"/>
    <mergeCell ref="C13:E13"/>
    <mergeCell ref="C14:E14"/>
    <mergeCell ref="C15:E15"/>
    <mergeCell ref="C16:E16"/>
    <mergeCell ref="C20:E20"/>
    <mergeCell ref="C21:E21"/>
    <mergeCell ref="D3:F3"/>
    <mergeCell ref="D4:F4"/>
  </mergeCells>
  <pageMargins left="0.25" right="0.25" top="0.75" bottom="0.75" header="0.3" footer="0.3"/>
  <pageSetup paperSize="1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8429-26EC-4459-8F82-555DE2088CBF}">
  <dimension ref="A1:I24"/>
  <sheetViews>
    <sheetView showGridLines="0" workbookViewId="0">
      <selection activeCell="F9" sqref="F9"/>
    </sheetView>
  </sheetViews>
  <sheetFormatPr baseColWidth="10" defaultRowHeight="15" x14ac:dyDescent="0.25"/>
  <cols>
    <col min="1" max="1" width="1.7109375" customWidth="1"/>
    <col min="2" max="2" width="14.28515625" customWidth="1"/>
    <col min="3" max="5" width="10.7109375" customWidth="1"/>
    <col min="6" max="8" width="15.7109375" customWidth="1"/>
    <col min="9" max="9" width="1.7109375" customWidth="1"/>
  </cols>
  <sheetData>
    <row r="1" spans="1:9" ht="9.9499999999999993" customHeight="1" thickTop="1" x14ac:dyDescent="0.25">
      <c r="A1" s="61"/>
      <c r="B1" s="62"/>
      <c r="C1" s="62"/>
      <c r="D1" s="62"/>
      <c r="E1" s="62"/>
      <c r="F1" s="62"/>
      <c r="G1" s="62"/>
      <c r="H1" s="62"/>
      <c r="I1" s="63"/>
    </row>
    <row r="2" spans="1:9" ht="15" customHeight="1" x14ac:dyDescent="0.25">
      <c r="A2" s="20"/>
      <c r="C2" t="s">
        <v>1098</v>
      </c>
      <c r="D2" s="70">
        <f>Datos!G19</f>
        <v>0</v>
      </c>
      <c r="F2" s="64" t="s">
        <v>9</v>
      </c>
      <c r="G2" s="85">
        <f>Datos!C1</f>
        <v>0</v>
      </c>
      <c r="H2" s="86"/>
      <c r="I2" s="18"/>
    </row>
    <row r="3" spans="1:9" ht="15" customHeight="1" x14ac:dyDescent="0.25">
      <c r="A3" s="20"/>
      <c r="C3" t="s">
        <v>10</v>
      </c>
      <c r="D3" s="90">
        <f>Datos!C2</f>
        <v>0</v>
      </c>
      <c r="E3" s="90"/>
      <c r="F3" s="91"/>
      <c r="G3" s="87"/>
      <c r="H3" s="88"/>
      <c r="I3" s="18"/>
    </row>
    <row r="4" spans="1:9" x14ac:dyDescent="0.25">
      <c r="A4" s="20"/>
      <c r="C4" t="s">
        <v>11</v>
      </c>
      <c r="D4" s="90">
        <f>Datos!C3</f>
        <v>0</v>
      </c>
      <c r="E4" s="90"/>
      <c r="F4" s="90"/>
      <c r="G4" t="s">
        <v>116</v>
      </c>
      <c r="H4">
        <f>Datos!C4</f>
        <v>0</v>
      </c>
      <c r="I4" s="18"/>
    </row>
    <row r="5" spans="1:9" x14ac:dyDescent="0.25">
      <c r="A5" s="20"/>
      <c r="C5" t="s">
        <v>13</v>
      </c>
      <c r="D5" s="90">
        <f>Datos!C5</f>
        <v>0</v>
      </c>
      <c r="E5" s="90"/>
      <c r="F5" s="90"/>
      <c r="G5" t="s">
        <v>12</v>
      </c>
      <c r="H5" t="str">
        <f ca="1">TEXT(NOW(),"dd/mm/aaa")</f>
        <v>18/03/2026</v>
      </c>
      <c r="I5" s="18"/>
    </row>
    <row r="6" spans="1:9" ht="15" customHeight="1" x14ac:dyDescent="0.25">
      <c r="A6" s="20"/>
      <c r="B6" s="85" t="str">
        <f>"TOLDO 2"&amp;" de "&amp;Datos!C6</f>
        <v xml:space="preserve">TOLDO 2 de </v>
      </c>
      <c r="C6" s="93"/>
      <c r="D6" s="93"/>
      <c r="E6" s="93"/>
      <c r="F6" s="93"/>
      <c r="G6" s="93"/>
      <c r="H6" s="86"/>
      <c r="I6" s="18"/>
    </row>
    <row r="7" spans="1:9" ht="15" customHeight="1" x14ac:dyDescent="0.25">
      <c r="A7" s="20"/>
      <c r="B7" s="87"/>
      <c r="C7" s="94"/>
      <c r="D7" s="94"/>
      <c r="E7" s="94"/>
      <c r="F7" s="94"/>
      <c r="G7" s="94"/>
      <c r="H7" s="88"/>
      <c r="I7" s="18"/>
    </row>
    <row r="8" spans="1:9" ht="9.9499999999999993" customHeight="1" x14ac:dyDescent="0.25">
      <c r="A8" s="20"/>
      <c r="I8" s="18"/>
    </row>
    <row r="9" spans="1:9" ht="15" customHeight="1" x14ac:dyDescent="0.25">
      <c r="A9" s="20"/>
      <c r="B9" s="82" t="s">
        <v>114</v>
      </c>
      <c r="C9" s="89" t="s">
        <v>38</v>
      </c>
      <c r="D9" s="89"/>
      <c r="E9" s="89"/>
      <c r="F9" s="55">
        <f>IF(Datos!C6&lt;2,0,ROUNDDOWN('Cálculos de medidas'!J33,1))</f>
        <v>0</v>
      </c>
      <c r="G9" s="95" t="e">
        <f>ROUNDUP(ROUNDUP(F9/VLOOKUP(Datos!C8,'M TELAS'!B:C,2),0)*F10/100-IF(ISNUMBER(F11),1.4*ROUNDUP(F9/VLOOKUP(Datos!C8,'M TELAS'!B:C,2),0),0),1)</f>
        <v>#N/A</v>
      </c>
      <c r="H9" s="92" t="s">
        <v>1104</v>
      </c>
      <c r="I9" s="18"/>
    </row>
    <row r="10" spans="1:9" ht="15" customHeight="1" x14ac:dyDescent="0.25">
      <c r="A10" s="20"/>
      <c r="B10" s="82"/>
      <c r="C10" s="89" t="s">
        <v>115</v>
      </c>
      <c r="D10" s="89"/>
      <c r="E10" s="89"/>
      <c r="F10" s="55">
        <f>IFERROR(ROUNDDOWN('Cálculos de medidas'!J34,1),0)</f>
        <v>0</v>
      </c>
      <c r="G10" s="95"/>
      <c r="H10" s="92"/>
      <c r="I10" s="18"/>
    </row>
    <row r="11" spans="1:9" x14ac:dyDescent="0.25">
      <c r="A11" s="20"/>
      <c r="B11" s="82"/>
      <c r="C11" s="89" t="s">
        <v>16</v>
      </c>
      <c r="D11" s="89"/>
      <c r="E11" s="89"/>
      <c r="F11" s="60" t="e">
        <f>_xlfn.IFS(Datos!C9="NO","No",Datos!C9="SI",Características!O16)</f>
        <v>#N/A</v>
      </c>
      <c r="I11" s="18"/>
    </row>
    <row r="12" spans="1:9" ht="9.9499999999999993" customHeight="1" x14ac:dyDescent="0.25">
      <c r="A12" s="20"/>
      <c r="I12" s="18"/>
    </row>
    <row r="13" spans="1:9" ht="15" customHeight="1" x14ac:dyDescent="0.25">
      <c r="A13" s="20"/>
      <c r="B13" s="82" t="s">
        <v>117</v>
      </c>
      <c r="C13" s="89" t="s">
        <v>19</v>
      </c>
      <c r="D13" s="89"/>
      <c r="E13" s="89"/>
      <c r="F13" s="55" t="e">
        <f>ROUNDDOWN('Cálculos de medidas'!J35,1)</f>
        <v>#N/A</v>
      </c>
      <c r="I13" s="18"/>
    </row>
    <row r="14" spans="1:9" ht="15" customHeight="1" x14ac:dyDescent="0.25">
      <c r="A14" s="20"/>
      <c r="B14" s="82"/>
      <c r="C14" s="89" t="s">
        <v>40</v>
      </c>
      <c r="D14" s="89"/>
      <c r="E14" s="89"/>
      <c r="F14" s="55" t="e">
        <f>ROUNDDOWN('Cálculos de medidas'!J36,1)</f>
        <v>#N/A</v>
      </c>
      <c r="I14" s="18"/>
    </row>
    <row r="15" spans="1:9" ht="15" customHeight="1" x14ac:dyDescent="0.25">
      <c r="A15" s="20"/>
      <c r="B15" s="82"/>
      <c r="C15" s="89" t="s">
        <v>41</v>
      </c>
      <c r="D15" s="89"/>
      <c r="E15" s="89"/>
      <c r="F15" s="55" t="e">
        <f>ROUNDDOWN('Cálculos de medidas'!J37,1)</f>
        <v>#N/A</v>
      </c>
      <c r="I15" s="18"/>
    </row>
    <row r="16" spans="1:9" ht="15" customHeight="1" x14ac:dyDescent="0.25">
      <c r="A16" s="20"/>
      <c r="B16" s="82"/>
      <c r="C16" s="89" t="s">
        <v>42</v>
      </c>
      <c r="D16" s="89"/>
      <c r="E16" s="89"/>
      <c r="F16" s="55" t="e">
        <f>ROUNDDOWN('Cálculos de medidas'!J38,1)</f>
        <v>#N/A</v>
      </c>
      <c r="I16" s="18"/>
    </row>
    <row r="17" spans="1:9" ht="9.9499999999999993" customHeight="1" x14ac:dyDescent="0.25">
      <c r="A17" s="20"/>
      <c r="I17" s="18"/>
    </row>
    <row r="18" spans="1:9" x14ac:dyDescent="0.25">
      <c r="A18" s="20"/>
      <c r="B18" s="65"/>
      <c r="C18" s="65"/>
      <c r="D18" s="65"/>
      <c r="E18" s="65"/>
      <c r="F18" s="83" t="s">
        <v>60</v>
      </c>
      <c r="G18" s="65"/>
      <c r="H18" s="83" t="s">
        <v>61</v>
      </c>
      <c r="I18" s="18"/>
    </row>
    <row r="19" spans="1:9" x14ac:dyDescent="0.25">
      <c r="A19" s="20"/>
      <c r="B19" s="65"/>
      <c r="C19" s="65"/>
      <c r="D19" s="65"/>
      <c r="E19" s="65"/>
      <c r="F19" s="84"/>
      <c r="G19" s="65"/>
      <c r="H19" s="84"/>
      <c r="I19" s="18"/>
    </row>
    <row r="20" spans="1:9" ht="15" customHeight="1" x14ac:dyDescent="0.25">
      <c r="A20" s="20"/>
      <c r="B20" s="82" t="s">
        <v>118</v>
      </c>
      <c r="C20" s="89" t="s">
        <v>49</v>
      </c>
      <c r="D20" s="89"/>
      <c r="E20" s="89"/>
      <c r="F20" s="55" t="str">
        <f>IFERROR(ROUNDDOWN('Cálculos de medidas'!J40,1),"")</f>
        <v/>
      </c>
      <c r="G20" s="55"/>
      <c r="H20" s="55" t="str">
        <f>IFERROR(ROUNDDOWN('Cálculos de medidas'!J44,1),"")</f>
        <v/>
      </c>
      <c r="I20" s="18"/>
    </row>
    <row r="21" spans="1:9" ht="15" customHeight="1" x14ac:dyDescent="0.25">
      <c r="A21" s="20"/>
      <c r="B21" s="82"/>
      <c r="C21" s="89" t="s">
        <v>55</v>
      </c>
      <c r="D21" s="89"/>
      <c r="E21" s="89"/>
      <c r="F21" s="55" t="str">
        <f>IFERROR(ROUNDDOWN('Cálculos de medidas'!J41,1),"")</f>
        <v/>
      </c>
      <c r="G21" s="55"/>
      <c r="H21" s="55" t="str">
        <f>IFERROR(ROUNDDOWN('Cálculos de medidas'!J45,1),"")</f>
        <v/>
      </c>
      <c r="I21" s="18"/>
    </row>
    <row r="22" spans="1:9" x14ac:dyDescent="0.25">
      <c r="A22" s="20"/>
      <c r="B22" s="82"/>
      <c r="C22" s="89" t="s">
        <v>53</v>
      </c>
      <c r="D22" s="89"/>
      <c r="E22" s="89"/>
      <c r="F22" s="59" t="str">
        <f>IFERROR(ROUNDDOWN('Cálculos de medidas'!J42,1),"NO")</f>
        <v>NO</v>
      </c>
      <c r="G22" s="55"/>
      <c r="H22" s="59" t="str">
        <f>IFERROR(ROUNDDOWN('Cálculos de medidas'!J46,1),"NO")</f>
        <v>NO</v>
      </c>
      <c r="I22" s="18"/>
    </row>
    <row r="23" spans="1:9" ht="9.9499999999999993" customHeight="1" thickBot="1" x14ac:dyDescent="0.3">
      <c r="A23" s="66"/>
      <c r="B23" s="67"/>
      <c r="C23" s="67"/>
      <c r="D23" s="67"/>
      <c r="E23" s="67"/>
      <c r="F23" s="67"/>
      <c r="G23" s="67"/>
      <c r="H23" s="67"/>
      <c r="I23" s="68"/>
    </row>
    <row r="24" spans="1:9" ht="15.75" thickTop="1" x14ac:dyDescent="0.25"/>
  </sheetData>
  <mergeCells count="22">
    <mergeCell ref="H18:H19"/>
    <mergeCell ref="B20:B22"/>
    <mergeCell ref="C20:E20"/>
    <mergeCell ref="C21:E21"/>
    <mergeCell ref="C22:E22"/>
    <mergeCell ref="F18:F19"/>
    <mergeCell ref="B13:B16"/>
    <mergeCell ref="C13:E13"/>
    <mergeCell ref="C14:E14"/>
    <mergeCell ref="C15:E15"/>
    <mergeCell ref="C16:E16"/>
    <mergeCell ref="G2:H3"/>
    <mergeCell ref="D3:F3"/>
    <mergeCell ref="D4:F4"/>
    <mergeCell ref="D5:F5"/>
    <mergeCell ref="B6:H7"/>
    <mergeCell ref="B9:B11"/>
    <mergeCell ref="C9:E9"/>
    <mergeCell ref="H9:H10"/>
    <mergeCell ref="C10:E10"/>
    <mergeCell ref="C11:E11"/>
    <mergeCell ref="G9:G10"/>
  </mergeCells>
  <pageMargins left="0.25" right="0.25" top="0.75" bottom="0.75" header="0.3" footer="0.3"/>
  <pageSetup paperSize="1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E8EC-4A7E-4047-9B2D-7D049D60AAAA}">
  <dimension ref="A1:I24"/>
  <sheetViews>
    <sheetView showGridLines="0" workbookViewId="0">
      <selection activeCell="F10" sqref="F10"/>
    </sheetView>
  </sheetViews>
  <sheetFormatPr baseColWidth="10" defaultRowHeight="15" x14ac:dyDescent="0.25"/>
  <cols>
    <col min="1" max="1" width="1.7109375" customWidth="1"/>
    <col min="2" max="2" width="14.28515625" customWidth="1"/>
    <col min="3" max="5" width="10.7109375" customWidth="1"/>
    <col min="6" max="8" width="15.7109375" customWidth="1"/>
    <col min="9" max="9" width="1.7109375" customWidth="1"/>
  </cols>
  <sheetData>
    <row r="1" spans="1:9" ht="9.9499999999999993" customHeight="1" thickTop="1" x14ac:dyDescent="0.25">
      <c r="A1" s="61"/>
      <c r="B1" s="62"/>
      <c r="C1" s="62"/>
      <c r="D1" s="62"/>
      <c r="E1" s="62"/>
      <c r="F1" s="62"/>
      <c r="G1" s="62"/>
      <c r="H1" s="62"/>
      <c r="I1" s="63"/>
    </row>
    <row r="2" spans="1:9" ht="15" customHeight="1" x14ac:dyDescent="0.25">
      <c r="A2" s="20"/>
      <c r="C2" t="s">
        <v>1098</v>
      </c>
      <c r="D2" s="70">
        <f>Datos!K19</f>
        <v>0</v>
      </c>
      <c r="F2" s="64" t="s">
        <v>9</v>
      </c>
      <c r="G2" s="85">
        <f>Datos!C1</f>
        <v>0</v>
      </c>
      <c r="H2" s="86"/>
      <c r="I2" s="18"/>
    </row>
    <row r="3" spans="1:9" ht="15" customHeight="1" x14ac:dyDescent="0.25">
      <c r="A3" s="20"/>
      <c r="C3" t="s">
        <v>10</v>
      </c>
      <c r="D3" s="90">
        <f>Datos!C2</f>
        <v>0</v>
      </c>
      <c r="E3" s="90"/>
      <c r="F3" s="91"/>
      <c r="G3" s="87"/>
      <c r="H3" s="88"/>
      <c r="I3" s="18"/>
    </row>
    <row r="4" spans="1:9" x14ac:dyDescent="0.25">
      <c r="A4" s="20"/>
      <c r="C4" t="s">
        <v>11</v>
      </c>
      <c r="D4" s="90">
        <f>Datos!C3</f>
        <v>0</v>
      </c>
      <c r="E4" s="90"/>
      <c r="F4" s="90"/>
      <c r="G4" t="s">
        <v>116</v>
      </c>
      <c r="H4">
        <f>Datos!C4</f>
        <v>0</v>
      </c>
      <c r="I4" s="18"/>
    </row>
    <row r="5" spans="1:9" x14ac:dyDescent="0.25">
      <c r="A5" s="20"/>
      <c r="C5" t="s">
        <v>13</v>
      </c>
      <c r="D5" s="90">
        <f>Datos!C5</f>
        <v>0</v>
      </c>
      <c r="E5" s="90"/>
      <c r="F5" s="90"/>
      <c r="G5" t="s">
        <v>12</v>
      </c>
      <c r="H5" t="str">
        <f ca="1">TEXT(NOW(),"dd/mm/aaa")</f>
        <v>18/03/2026</v>
      </c>
      <c r="I5" s="18"/>
    </row>
    <row r="6" spans="1:9" ht="15" customHeight="1" x14ac:dyDescent="0.25">
      <c r="A6" s="20"/>
      <c r="B6" s="85" t="str">
        <f>"TOLDO 3"&amp;" de "&amp;Datos!C6</f>
        <v xml:space="preserve">TOLDO 3 de </v>
      </c>
      <c r="C6" s="93"/>
      <c r="D6" s="93"/>
      <c r="E6" s="93"/>
      <c r="F6" s="93"/>
      <c r="G6" s="93"/>
      <c r="H6" s="86"/>
      <c r="I6" s="18"/>
    </row>
    <row r="7" spans="1:9" ht="15" customHeight="1" x14ac:dyDescent="0.25">
      <c r="A7" s="20"/>
      <c r="B7" s="87"/>
      <c r="C7" s="94"/>
      <c r="D7" s="94"/>
      <c r="E7" s="94"/>
      <c r="F7" s="94"/>
      <c r="G7" s="94"/>
      <c r="H7" s="88"/>
      <c r="I7" s="18"/>
    </row>
    <row r="8" spans="1:9" ht="9.9499999999999993" customHeight="1" x14ac:dyDescent="0.25">
      <c r="A8" s="20"/>
      <c r="I8" s="18"/>
    </row>
    <row r="9" spans="1:9" ht="15" customHeight="1" x14ac:dyDescent="0.25">
      <c r="A9" s="20"/>
      <c r="B9" s="82" t="s">
        <v>114</v>
      </c>
      <c r="C9" s="89" t="s">
        <v>38</v>
      </c>
      <c r="D9" s="89"/>
      <c r="E9" s="89"/>
      <c r="F9" s="55">
        <f>IF(Datos!C6&lt;3,0,ROUNDDOWN('Cálculos de medidas'!J57,1))</f>
        <v>0</v>
      </c>
      <c r="G9" s="95" t="e">
        <f>ROUNDUP(ROUNDUP(F9/VLOOKUP(Datos!C8,'M TELAS'!B:C,2),0)*F10/100-IF(ISNUMBER(F11),1.4*ROUNDUP(F9/VLOOKUP(Datos!C8,'M TELAS'!B:C,2),0),0),1)</f>
        <v>#N/A</v>
      </c>
      <c r="H9" s="92" t="s">
        <v>1104</v>
      </c>
      <c r="I9" s="18"/>
    </row>
    <row r="10" spans="1:9" ht="15" customHeight="1" x14ac:dyDescent="0.25">
      <c r="A10" s="20"/>
      <c r="B10" s="82"/>
      <c r="C10" s="89" t="s">
        <v>115</v>
      </c>
      <c r="D10" s="89"/>
      <c r="E10" s="89"/>
      <c r="F10" s="55">
        <f>IFERROR(ROUNDDOWN('Cálculos de medidas'!J58,1),0)</f>
        <v>0</v>
      </c>
      <c r="G10" s="95"/>
      <c r="H10" s="92"/>
      <c r="I10" s="18"/>
    </row>
    <row r="11" spans="1:9" x14ac:dyDescent="0.25">
      <c r="A11" s="20"/>
      <c r="B11" s="82"/>
      <c r="C11" s="89" t="s">
        <v>16</v>
      </c>
      <c r="D11" s="89"/>
      <c r="E11" s="89"/>
      <c r="F11" s="60" t="e">
        <f>_xlfn.IFS(Datos!C9="NO","No",Datos!C9="SI",Características!O17)</f>
        <v>#N/A</v>
      </c>
      <c r="I11" s="18"/>
    </row>
    <row r="12" spans="1:9" ht="9.9499999999999993" customHeight="1" x14ac:dyDescent="0.25">
      <c r="A12" s="20"/>
      <c r="I12" s="18"/>
    </row>
    <row r="13" spans="1:9" ht="15" customHeight="1" x14ac:dyDescent="0.25">
      <c r="A13" s="20"/>
      <c r="B13" s="82" t="s">
        <v>117</v>
      </c>
      <c r="C13" s="89" t="s">
        <v>19</v>
      </c>
      <c r="D13" s="89"/>
      <c r="E13" s="89"/>
      <c r="F13" s="55" t="e">
        <f>ROUNDDOWN('Cálculos de medidas'!J59,1)</f>
        <v>#N/A</v>
      </c>
      <c r="I13" s="18"/>
    </row>
    <row r="14" spans="1:9" ht="15" customHeight="1" x14ac:dyDescent="0.25">
      <c r="A14" s="20"/>
      <c r="B14" s="82"/>
      <c r="C14" s="89" t="s">
        <v>40</v>
      </c>
      <c r="D14" s="89"/>
      <c r="E14" s="89"/>
      <c r="F14" s="55" t="e">
        <f>ROUNDDOWN('Cálculos de medidas'!J60,1)</f>
        <v>#N/A</v>
      </c>
      <c r="I14" s="18"/>
    </row>
    <row r="15" spans="1:9" ht="15" customHeight="1" x14ac:dyDescent="0.25">
      <c r="A15" s="20"/>
      <c r="B15" s="82"/>
      <c r="C15" s="89" t="s">
        <v>41</v>
      </c>
      <c r="D15" s="89"/>
      <c r="E15" s="89"/>
      <c r="F15" s="55" t="e">
        <f>ROUNDDOWN('Cálculos de medidas'!J61,1)</f>
        <v>#N/A</v>
      </c>
      <c r="I15" s="18"/>
    </row>
    <row r="16" spans="1:9" ht="15" customHeight="1" x14ac:dyDescent="0.25">
      <c r="A16" s="20"/>
      <c r="B16" s="82"/>
      <c r="C16" s="89" t="s">
        <v>42</v>
      </c>
      <c r="D16" s="89"/>
      <c r="E16" s="89"/>
      <c r="F16" s="55" t="e">
        <f>ROUNDDOWN('Cálculos de medidas'!J62,1)</f>
        <v>#N/A</v>
      </c>
      <c r="I16" s="18"/>
    </row>
    <row r="17" spans="1:9" ht="9.9499999999999993" customHeight="1" x14ac:dyDescent="0.25">
      <c r="A17" s="20"/>
      <c r="I17" s="18"/>
    </row>
    <row r="18" spans="1:9" x14ac:dyDescent="0.25">
      <c r="A18" s="20"/>
      <c r="B18" s="65"/>
      <c r="C18" s="65"/>
      <c r="D18" s="65"/>
      <c r="E18" s="65"/>
      <c r="F18" s="83" t="s">
        <v>60</v>
      </c>
      <c r="G18" s="65"/>
      <c r="H18" s="83" t="s">
        <v>61</v>
      </c>
      <c r="I18" s="18"/>
    </row>
    <row r="19" spans="1:9" x14ac:dyDescent="0.25">
      <c r="A19" s="20"/>
      <c r="B19" s="65"/>
      <c r="C19" s="65"/>
      <c r="D19" s="65"/>
      <c r="E19" s="65"/>
      <c r="F19" s="84"/>
      <c r="G19" s="65"/>
      <c r="H19" s="84"/>
      <c r="I19" s="18"/>
    </row>
    <row r="20" spans="1:9" ht="15" customHeight="1" x14ac:dyDescent="0.25">
      <c r="A20" s="20"/>
      <c r="B20" s="82" t="s">
        <v>118</v>
      </c>
      <c r="C20" s="89" t="s">
        <v>49</v>
      </c>
      <c r="D20" s="89"/>
      <c r="E20" s="89"/>
      <c r="F20" s="55" t="str">
        <f>IFERROR(ROUNDDOWN('Cálculos de medidas'!J64,1),"")</f>
        <v/>
      </c>
      <c r="G20" s="55"/>
      <c r="H20" s="55" t="str">
        <f>IFERROR(ROUNDDOWN('Cálculos de medidas'!J68,1),"")</f>
        <v/>
      </c>
      <c r="I20" s="18"/>
    </row>
    <row r="21" spans="1:9" ht="15" customHeight="1" x14ac:dyDescent="0.25">
      <c r="A21" s="20"/>
      <c r="B21" s="82"/>
      <c r="C21" s="89" t="s">
        <v>55</v>
      </c>
      <c r="D21" s="89"/>
      <c r="E21" s="89"/>
      <c r="F21" s="55" t="str">
        <f>IFERROR(ROUNDDOWN('Cálculos de medidas'!J65,1),"")</f>
        <v/>
      </c>
      <c r="G21" s="55"/>
      <c r="H21" s="55" t="str">
        <f>IFERROR(ROUNDDOWN('Cálculos de medidas'!J69,1),"")</f>
        <v/>
      </c>
      <c r="I21" s="18"/>
    </row>
    <row r="22" spans="1:9" x14ac:dyDescent="0.25">
      <c r="A22" s="20"/>
      <c r="B22" s="82"/>
      <c r="C22" s="89" t="s">
        <v>53</v>
      </c>
      <c r="D22" s="89"/>
      <c r="E22" s="89"/>
      <c r="F22" s="59" t="str">
        <f>IFERROR(ROUNDDOWN('Cálculos de medidas'!J66,1),"NO")</f>
        <v>NO</v>
      </c>
      <c r="G22" s="55"/>
      <c r="H22" s="59" t="str">
        <f>IFERROR(ROUNDDOWN('Cálculos de medidas'!J70,1),"NO")</f>
        <v>NO</v>
      </c>
      <c r="I22" s="18"/>
    </row>
    <row r="23" spans="1:9" ht="9.9499999999999993" customHeight="1" thickBot="1" x14ac:dyDescent="0.3">
      <c r="A23" s="66"/>
      <c r="B23" s="67"/>
      <c r="C23" s="67"/>
      <c r="D23" s="67"/>
      <c r="E23" s="67"/>
      <c r="F23" s="67"/>
      <c r="G23" s="67"/>
      <c r="H23" s="67"/>
      <c r="I23" s="68"/>
    </row>
    <row r="24" spans="1:9" ht="15.75" thickTop="1" x14ac:dyDescent="0.25"/>
  </sheetData>
  <mergeCells count="22">
    <mergeCell ref="H18:H19"/>
    <mergeCell ref="B20:B22"/>
    <mergeCell ref="C20:E20"/>
    <mergeCell ref="C21:E21"/>
    <mergeCell ref="C22:E22"/>
    <mergeCell ref="F18:F19"/>
    <mergeCell ref="B13:B16"/>
    <mergeCell ref="C13:E13"/>
    <mergeCell ref="C14:E14"/>
    <mergeCell ref="C15:E15"/>
    <mergeCell ref="C16:E16"/>
    <mergeCell ref="G2:H3"/>
    <mergeCell ref="D3:F3"/>
    <mergeCell ref="D4:F4"/>
    <mergeCell ref="D5:F5"/>
    <mergeCell ref="B6:H7"/>
    <mergeCell ref="B9:B11"/>
    <mergeCell ref="C9:E9"/>
    <mergeCell ref="H9:H10"/>
    <mergeCell ref="C10:E10"/>
    <mergeCell ref="C11:E11"/>
    <mergeCell ref="G9:G10"/>
  </mergeCells>
  <pageMargins left="0.25" right="0.25" top="0.75" bottom="0.75" header="0.3" footer="0.3"/>
  <pageSetup paperSize="1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6CEB-FD53-4A5B-B744-7E654C19026F}">
  <dimension ref="A1:I24"/>
  <sheetViews>
    <sheetView showGridLines="0" workbookViewId="0">
      <selection activeCell="F10" sqref="F10"/>
    </sheetView>
  </sheetViews>
  <sheetFormatPr baseColWidth="10" defaultRowHeight="15" x14ac:dyDescent="0.25"/>
  <cols>
    <col min="1" max="1" width="1.7109375" customWidth="1"/>
    <col min="2" max="2" width="14.28515625" customWidth="1"/>
    <col min="3" max="5" width="10.7109375" customWidth="1"/>
    <col min="6" max="8" width="15.7109375" customWidth="1"/>
    <col min="9" max="9" width="1.7109375" customWidth="1"/>
  </cols>
  <sheetData>
    <row r="1" spans="1:9" ht="9.9499999999999993" customHeight="1" thickTop="1" x14ac:dyDescent="0.25">
      <c r="A1" s="61"/>
      <c r="B1" s="62"/>
      <c r="C1" s="62"/>
      <c r="D1" s="62"/>
      <c r="E1" s="62"/>
      <c r="F1" s="62"/>
      <c r="G1" s="62"/>
      <c r="H1" s="62"/>
      <c r="I1" s="63"/>
    </row>
    <row r="2" spans="1:9" ht="15" customHeight="1" x14ac:dyDescent="0.25">
      <c r="A2" s="20"/>
      <c r="C2" t="s">
        <v>1098</v>
      </c>
      <c r="D2" s="70">
        <f>Datos!O19</f>
        <v>0</v>
      </c>
      <c r="F2" s="64" t="s">
        <v>9</v>
      </c>
      <c r="G2" s="85">
        <f>Datos!C1</f>
        <v>0</v>
      </c>
      <c r="H2" s="86"/>
      <c r="I2" s="18"/>
    </row>
    <row r="3" spans="1:9" ht="15" customHeight="1" x14ac:dyDescent="0.25">
      <c r="A3" s="20"/>
      <c r="C3" t="s">
        <v>10</v>
      </c>
      <c r="D3" s="90">
        <f>Datos!C2</f>
        <v>0</v>
      </c>
      <c r="E3" s="90"/>
      <c r="F3" s="91"/>
      <c r="G3" s="87"/>
      <c r="H3" s="88"/>
      <c r="I3" s="18"/>
    </row>
    <row r="4" spans="1:9" x14ac:dyDescent="0.25">
      <c r="A4" s="20"/>
      <c r="C4" t="s">
        <v>11</v>
      </c>
      <c r="D4" s="90">
        <f>Datos!C3</f>
        <v>0</v>
      </c>
      <c r="E4" s="90"/>
      <c r="F4" s="90"/>
      <c r="G4" t="s">
        <v>116</v>
      </c>
      <c r="H4">
        <f>Datos!C4</f>
        <v>0</v>
      </c>
      <c r="I4" s="18"/>
    </row>
    <row r="5" spans="1:9" x14ac:dyDescent="0.25">
      <c r="A5" s="20"/>
      <c r="C5" t="s">
        <v>13</v>
      </c>
      <c r="D5" s="90">
        <f>Datos!C5</f>
        <v>0</v>
      </c>
      <c r="E5" s="90"/>
      <c r="F5" s="90"/>
      <c r="G5" t="s">
        <v>12</v>
      </c>
      <c r="H5" t="str">
        <f ca="1">TEXT(NOW(),"dd/mm/aaa")</f>
        <v>18/03/2026</v>
      </c>
      <c r="I5" s="18"/>
    </row>
    <row r="6" spans="1:9" ht="15" customHeight="1" x14ac:dyDescent="0.25">
      <c r="A6" s="20"/>
      <c r="B6" s="85" t="str">
        <f>"TOLDO 4"&amp;" de "&amp;Datos!C6</f>
        <v xml:space="preserve">TOLDO 4 de </v>
      </c>
      <c r="C6" s="93"/>
      <c r="D6" s="93"/>
      <c r="E6" s="93"/>
      <c r="F6" s="93"/>
      <c r="G6" s="93"/>
      <c r="H6" s="86"/>
      <c r="I6" s="18"/>
    </row>
    <row r="7" spans="1:9" ht="15" customHeight="1" x14ac:dyDescent="0.25">
      <c r="A7" s="20"/>
      <c r="B7" s="87"/>
      <c r="C7" s="94"/>
      <c r="D7" s="94"/>
      <c r="E7" s="94"/>
      <c r="F7" s="94"/>
      <c r="G7" s="94"/>
      <c r="H7" s="88"/>
      <c r="I7" s="18"/>
    </row>
    <row r="8" spans="1:9" ht="9.9499999999999993" customHeight="1" x14ac:dyDescent="0.25">
      <c r="A8" s="20"/>
      <c r="I8" s="18"/>
    </row>
    <row r="9" spans="1:9" ht="15" customHeight="1" x14ac:dyDescent="0.25">
      <c r="A9" s="20"/>
      <c r="B9" s="82" t="s">
        <v>114</v>
      </c>
      <c r="C9" s="89" t="s">
        <v>38</v>
      </c>
      <c r="D9" s="89"/>
      <c r="E9" s="89"/>
      <c r="F9" s="55">
        <f>IF(Datos!C6&lt;4,0,ROUNDDOWN('Cálculos de medidas'!J81,1))</f>
        <v>0</v>
      </c>
      <c r="G9" s="95" t="e">
        <f>ROUNDUP(ROUNDUP(F9/VLOOKUP(Datos!C8,'M TELAS'!B:C,2),0)*F10/100-IF(ISNUMBER(F11),1.4*ROUNDUP(F9/VLOOKUP(Datos!C8,'M TELAS'!B:C,2),0),0),1)</f>
        <v>#N/A</v>
      </c>
      <c r="H9" s="92" t="s">
        <v>1104</v>
      </c>
      <c r="I9" s="18"/>
    </row>
    <row r="10" spans="1:9" ht="15" customHeight="1" x14ac:dyDescent="0.25">
      <c r="A10" s="20"/>
      <c r="B10" s="82"/>
      <c r="C10" s="89" t="s">
        <v>115</v>
      </c>
      <c r="D10" s="89"/>
      <c r="E10" s="89"/>
      <c r="F10" s="55">
        <f>IFERROR(ROUNDDOWN('Cálculos de medidas'!J82,1),0)</f>
        <v>0</v>
      </c>
      <c r="G10" s="95"/>
      <c r="H10" s="92"/>
      <c r="I10" s="18"/>
    </row>
    <row r="11" spans="1:9" x14ac:dyDescent="0.25">
      <c r="A11" s="20"/>
      <c r="B11" s="82"/>
      <c r="C11" s="89" t="s">
        <v>16</v>
      </c>
      <c r="D11" s="89"/>
      <c r="E11" s="89"/>
      <c r="F11" s="60" t="e">
        <f>_xlfn.IFS(Datos!C9="NO","No",Datos!C9="SI",Características!O18)</f>
        <v>#N/A</v>
      </c>
      <c r="I11" s="18"/>
    </row>
    <row r="12" spans="1:9" ht="9.9499999999999993" customHeight="1" x14ac:dyDescent="0.25">
      <c r="A12" s="20"/>
      <c r="I12" s="18"/>
    </row>
    <row r="13" spans="1:9" ht="15" customHeight="1" x14ac:dyDescent="0.25">
      <c r="A13" s="20"/>
      <c r="B13" s="82" t="s">
        <v>117</v>
      </c>
      <c r="C13" s="89" t="s">
        <v>19</v>
      </c>
      <c r="D13" s="89"/>
      <c r="E13" s="89"/>
      <c r="F13" s="55" t="e">
        <f>ROUNDDOWN('Cálculos de medidas'!J83,1)</f>
        <v>#N/A</v>
      </c>
      <c r="I13" s="18"/>
    </row>
    <row r="14" spans="1:9" ht="15" customHeight="1" x14ac:dyDescent="0.25">
      <c r="A14" s="20"/>
      <c r="B14" s="82"/>
      <c r="C14" s="89" t="s">
        <v>40</v>
      </c>
      <c r="D14" s="89"/>
      <c r="E14" s="89"/>
      <c r="F14" s="55" t="e">
        <f>ROUNDDOWN('Cálculos de medidas'!J84,1)</f>
        <v>#N/A</v>
      </c>
      <c r="I14" s="18"/>
    </row>
    <row r="15" spans="1:9" ht="15" customHeight="1" x14ac:dyDescent="0.25">
      <c r="A15" s="20"/>
      <c r="B15" s="82"/>
      <c r="C15" s="89" t="s">
        <v>41</v>
      </c>
      <c r="D15" s="89"/>
      <c r="E15" s="89"/>
      <c r="F15" s="55" t="e">
        <f>ROUNDDOWN('Cálculos de medidas'!J85,1)</f>
        <v>#N/A</v>
      </c>
      <c r="I15" s="18"/>
    </row>
    <row r="16" spans="1:9" ht="15" customHeight="1" x14ac:dyDescent="0.25">
      <c r="A16" s="20"/>
      <c r="B16" s="82"/>
      <c r="C16" s="89" t="s">
        <v>42</v>
      </c>
      <c r="D16" s="89"/>
      <c r="E16" s="89"/>
      <c r="F16" s="55" t="e">
        <f>ROUNDDOWN('Cálculos de medidas'!J86,1)</f>
        <v>#N/A</v>
      </c>
      <c r="I16" s="18"/>
    </row>
    <row r="17" spans="1:9" ht="9.9499999999999993" customHeight="1" x14ac:dyDescent="0.25">
      <c r="A17" s="20"/>
      <c r="I17" s="18"/>
    </row>
    <row r="18" spans="1:9" x14ac:dyDescent="0.25">
      <c r="A18" s="20"/>
      <c r="B18" s="65"/>
      <c r="C18" s="65"/>
      <c r="D18" s="65"/>
      <c r="E18" s="65"/>
      <c r="F18" s="83" t="s">
        <v>60</v>
      </c>
      <c r="G18" s="65"/>
      <c r="H18" s="83" t="s">
        <v>61</v>
      </c>
      <c r="I18" s="18"/>
    </row>
    <row r="19" spans="1:9" x14ac:dyDescent="0.25">
      <c r="A19" s="20"/>
      <c r="B19" s="65"/>
      <c r="C19" s="65"/>
      <c r="D19" s="65"/>
      <c r="E19" s="65"/>
      <c r="F19" s="84"/>
      <c r="G19" s="65"/>
      <c r="H19" s="84"/>
      <c r="I19" s="18"/>
    </row>
    <row r="20" spans="1:9" ht="15" customHeight="1" x14ac:dyDescent="0.25">
      <c r="A20" s="20"/>
      <c r="B20" s="82" t="s">
        <v>118</v>
      </c>
      <c r="C20" s="89" t="s">
        <v>49</v>
      </c>
      <c r="D20" s="89"/>
      <c r="E20" s="89"/>
      <c r="F20" s="55" t="str">
        <f>IFERROR(ROUNDDOWN('Cálculos de medidas'!J88,1),"")</f>
        <v/>
      </c>
      <c r="G20" s="55"/>
      <c r="H20" s="55" t="str">
        <f>IFERROR(ROUNDDOWN('Cálculos de medidas'!J92,1),"")</f>
        <v/>
      </c>
      <c r="I20" s="18"/>
    </row>
    <row r="21" spans="1:9" ht="15" customHeight="1" x14ac:dyDescent="0.25">
      <c r="A21" s="20"/>
      <c r="B21" s="82"/>
      <c r="C21" s="89" t="s">
        <v>55</v>
      </c>
      <c r="D21" s="89"/>
      <c r="E21" s="89"/>
      <c r="F21" s="55" t="str">
        <f>IFERROR(ROUNDDOWN('Cálculos de medidas'!J89,1),"")</f>
        <v/>
      </c>
      <c r="G21" s="55"/>
      <c r="H21" s="55" t="str">
        <f>IFERROR(ROUNDDOWN('Cálculos de medidas'!J93,1),"")</f>
        <v/>
      </c>
      <c r="I21" s="18"/>
    </row>
    <row r="22" spans="1:9" x14ac:dyDescent="0.25">
      <c r="A22" s="20"/>
      <c r="B22" s="82"/>
      <c r="C22" s="89" t="s">
        <v>53</v>
      </c>
      <c r="D22" s="89"/>
      <c r="E22" s="89"/>
      <c r="F22" s="59" t="str">
        <f>IFERROR(ROUNDDOWN('Cálculos de medidas'!J90,1),"NO")</f>
        <v>NO</v>
      </c>
      <c r="G22" s="55"/>
      <c r="H22" s="59" t="str">
        <f>IFERROR(ROUNDDOWN('Cálculos de medidas'!J94,1),"NO")</f>
        <v>NO</v>
      </c>
      <c r="I22" s="18"/>
    </row>
    <row r="23" spans="1:9" ht="9.9499999999999993" customHeight="1" thickBot="1" x14ac:dyDescent="0.3">
      <c r="A23" s="66"/>
      <c r="B23" s="67"/>
      <c r="C23" s="67"/>
      <c r="D23" s="67"/>
      <c r="E23" s="67"/>
      <c r="F23" s="67"/>
      <c r="G23" s="67"/>
      <c r="H23" s="67"/>
      <c r="I23" s="68"/>
    </row>
    <row r="24" spans="1:9" ht="15.75" thickTop="1" x14ac:dyDescent="0.25"/>
  </sheetData>
  <mergeCells count="22">
    <mergeCell ref="H18:H19"/>
    <mergeCell ref="B20:B22"/>
    <mergeCell ref="C20:E20"/>
    <mergeCell ref="C21:E21"/>
    <mergeCell ref="C22:E22"/>
    <mergeCell ref="F18:F19"/>
    <mergeCell ref="B13:B16"/>
    <mergeCell ref="C13:E13"/>
    <mergeCell ref="C14:E14"/>
    <mergeCell ref="C15:E15"/>
    <mergeCell ref="C16:E16"/>
    <mergeCell ref="G2:H3"/>
    <mergeCell ref="D3:F3"/>
    <mergeCell ref="D4:F4"/>
    <mergeCell ref="D5:F5"/>
    <mergeCell ref="B6:H7"/>
    <mergeCell ref="B9:B11"/>
    <mergeCell ref="C9:E9"/>
    <mergeCell ref="H9:H10"/>
    <mergeCell ref="C10:E10"/>
    <mergeCell ref="C11:E11"/>
    <mergeCell ref="G9:G10"/>
  </mergeCells>
  <pageMargins left="0.23622047244094491" right="0.23622047244094491" top="0.74803149606299213" bottom="0.74803149606299213" header="0.31496062992125984" footer="0.31496062992125984"/>
  <pageSetup paperSize="1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F033-5543-4E12-BC34-043D838839AE}">
  <dimension ref="A1:E328"/>
  <sheetViews>
    <sheetView workbookViewId="0">
      <selection activeCell="G312" sqref="G312"/>
    </sheetView>
  </sheetViews>
  <sheetFormatPr baseColWidth="10" defaultRowHeight="15" x14ac:dyDescent="0.25"/>
  <cols>
    <col min="1" max="1" width="18.7109375" bestFit="1" customWidth="1"/>
    <col min="2" max="2" width="30.85546875" bestFit="1" customWidth="1"/>
    <col min="3" max="3" width="9.85546875" bestFit="1" customWidth="1"/>
    <col min="4" max="4" width="12.42578125" bestFit="1" customWidth="1"/>
    <col min="5" max="5" width="18.42578125" bestFit="1" customWidth="1"/>
  </cols>
  <sheetData>
    <row r="1" spans="1:5" x14ac:dyDescent="0.25">
      <c r="A1" t="s">
        <v>127</v>
      </c>
      <c r="B1" t="s">
        <v>128</v>
      </c>
      <c r="C1" t="s">
        <v>129</v>
      </c>
      <c r="D1" t="s">
        <v>96</v>
      </c>
      <c r="E1" t="s">
        <v>130</v>
      </c>
    </row>
    <row r="2" spans="1:5" x14ac:dyDescent="0.25">
      <c r="A2" t="s">
        <v>131</v>
      </c>
      <c r="B2" t="s">
        <v>132</v>
      </c>
      <c r="C2">
        <v>120</v>
      </c>
      <c r="D2" t="s">
        <v>133</v>
      </c>
      <c r="E2" t="s">
        <v>134</v>
      </c>
    </row>
    <row r="3" spans="1:5" x14ac:dyDescent="0.25">
      <c r="A3" t="s">
        <v>135</v>
      </c>
      <c r="B3" t="s">
        <v>136</v>
      </c>
      <c r="C3">
        <v>120</v>
      </c>
      <c r="D3" t="s">
        <v>133</v>
      </c>
      <c r="E3" t="s">
        <v>137</v>
      </c>
    </row>
    <row r="4" spans="1:5" x14ac:dyDescent="0.25">
      <c r="A4" t="s">
        <v>138</v>
      </c>
      <c r="B4" t="s">
        <v>139</v>
      </c>
      <c r="C4">
        <v>120</v>
      </c>
      <c r="D4" t="s">
        <v>140</v>
      </c>
      <c r="E4" t="s">
        <v>141</v>
      </c>
    </row>
    <row r="5" spans="1:5" x14ac:dyDescent="0.25">
      <c r="A5" t="s">
        <v>142</v>
      </c>
      <c r="B5" t="s">
        <v>139</v>
      </c>
      <c r="C5">
        <v>153</v>
      </c>
      <c r="D5" t="s">
        <v>140</v>
      </c>
      <c r="E5" t="s">
        <v>141</v>
      </c>
    </row>
    <row r="6" spans="1:5" x14ac:dyDescent="0.25">
      <c r="A6" t="s">
        <v>143</v>
      </c>
      <c r="B6" t="s">
        <v>144</v>
      </c>
      <c r="C6">
        <v>120</v>
      </c>
      <c r="D6" t="s">
        <v>133</v>
      </c>
      <c r="E6" t="s">
        <v>145</v>
      </c>
    </row>
    <row r="7" spans="1:5" x14ac:dyDescent="0.25">
      <c r="A7" t="s">
        <v>146</v>
      </c>
      <c r="B7" t="s">
        <v>147</v>
      </c>
      <c r="C7">
        <v>120</v>
      </c>
      <c r="D7" t="s">
        <v>133</v>
      </c>
      <c r="E7" t="s">
        <v>148</v>
      </c>
    </row>
    <row r="8" spans="1:5" x14ac:dyDescent="0.25">
      <c r="A8" t="s">
        <v>149</v>
      </c>
      <c r="B8" t="s">
        <v>150</v>
      </c>
      <c r="C8">
        <v>120</v>
      </c>
      <c r="D8" t="s">
        <v>133</v>
      </c>
      <c r="E8" t="s">
        <v>151</v>
      </c>
    </row>
    <row r="9" spans="1:5" x14ac:dyDescent="0.25">
      <c r="A9" t="s">
        <v>152</v>
      </c>
      <c r="B9" t="s">
        <v>153</v>
      </c>
      <c r="C9">
        <v>120</v>
      </c>
      <c r="D9" t="s">
        <v>133</v>
      </c>
      <c r="E9" t="s">
        <v>154</v>
      </c>
    </row>
    <row r="10" spans="1:5" x14ac:dyDescent="0.25">
      <c r="A10" t="s">
        <v>155</v>
      </c>
      <c r="B10" t="s">
        <v>156</v>
      </c>
      <c r="C10">
        <v>120</v>
      </c>
      <c r="D10" t="s">
        <v>133</v>
      </c>
      <c r="E10" t="s">
        <v>157</v>
      </c>
    </row>
    <row r="11" spans="1:5" x14ac:dyDescent="0.25">
      <c r="A11" t="s">
        <v>158</v>
      </c>
      <c r="B11" t="s">
        <v>159</v>
      </c>
      <c r="C11">
        <v>120</v>
      </c>
      <c r="D11" t="s">
        <v>133</v>
      </c>
      <c r="E11" t="s">
        <v>160</v>
      </c>
    </row>
    <row r="12" spans="1:5" x14ac:dyDescent="0.25">
      <c r="A12" t="s">
        <v>161</v>
      </c>
      <c r="B12" t="s">
        <v>162</v>
      </c>
      <c r="C12">
        <v>120</v>
      </c>
      <c r="D12" t="s">
        <v>133</v>
      </c>
      <c r="E12" t="s">
        <v>163</v>
      </c>
    </row>
    <row r="13" spans="1:5" x14ac:dyDescent="0.25">
      <c r="A13" t="s">
        <v>164</v>
      </c>
      <c r="B13" t="s">
        <v>165</v>
      </c>
      <c r="C13">
        <v>120</v>
      </c>
      <c r="D13" t="s">
        <v>133</v>
      </c>
      <c r="E13" t="s">
        <v>166</v>
      </c>
    </row>
    <row r="14" spans="1:5" x14ac:dyDescent="0.25">
      <c r="A14" t="s">
        <v>167</v>
      </c>
      <c r="B14" t="s">
        <v>168</v>
      </c>
      <c r="C14">
        <v>120</v>
      </c>
      <c r="D14" t="s">
        <v>133</v>
      </c>
      <c r="E14" t="s">
        <v>169</v>
      </c>
    </row>
    <row r="15" spans="1:5" x14ac:dyDescent="0.25">
      <c r="A15" t="s">
        <v>170</v>
      </c>
      <c r="B15" t="s">
        <v>171</v>
      </c>
      <c r="C15">
        <v>120</v>
      </c>
      <c r="D15" t="s">
        <v>133</v>
      </c>
      <c r="E15" t="s">
        <v>172</v>
      </c>
    </row>
    <row r="16" spans="1:5" x14ac:dyDescent="0.25">
      <c r="A16" t="s">
        <v>173</v>
      </c>
      <c r="B16" t="s">
        <v>174</v>
      </c>
      <c r="C16">
        <v>120</v>
      </c>
      <c r="D16" t="s">
        <v>133</v>
      </c>
      <c r="E16" t="s">
        <v>175</v>
      </c>
    </row>
    <row r="17" spans="1:5" x14ac:dyDescent="0.25">
      <c r="A17" t="s">
        <v>176</v>
      </c>
      <c r="B17" t="s">
        <v>177</v>
      </c>
      <c r="C17">
        <v>120</v>
      </c>
      <c r="D17" t="s">
        <v>133</v>
      </c>
      <c r="E17" t="s">
        <v>178</v>
      </c>
    </row>
    <row r="18" spans="1:5" x14ac:dyDescent="0.25">
      <c r="A18" t="s">
        <v>179</v>
      </c>
      <c r="B18" t="s">
        <v>180</v>
      </c>
      <c r="C18">
        <v>120</v>
      </c>
      <c r="D18" t="s">
        <v>133</v>
      </c>
      <c r="E18" t="s">
        <v>181</v>
      </c>
    </row>
    <row r="19" spans="1:5" x14ac:dyDescent="0.25">
      <c r="A19" t="s">
        <v>182</v>
      </c>
      <c r="B19" t="s">
        <v>183</v>
      </c>
      <c r="C19">
        <v>120</v>
      </c>
      <c r="D19" t="s">
        <v>133</v>
      </c>
      <c r="E19" t="s">
        <v>184</v>
      </c>
    </row>
    <row r="20" spans="1:5" x14ac:dyDescent="0.25">
      <c r="A20" t="s">
        <v>185</v>
      </c>
      <c r="B20" t="s">
        <v>186</v>
      </c>
      <c r="C20">
        <v>120</v>
      </c>
      <c r="D20" t="s">
        <v>133</v>
      </c>
      <c r="E20" t="s">
        <v>187</v>
      </c>
    </row>
    <row r="21" spans="1:5" x14ac:dyDescent="0.25">
      <c r="A21" t="s">
        <v>188</v>
      </c>
      <c r="B21" t="s">
        <v>189</v>
      </c>
      <c r="C21">
        <v>120</v>
      </c>
      <c r="D21" t="s">
        <v>133</v>
      </c>
      <c r="E21" t="s">
        <v>190</v>
      </c>
    </row>
    <row r="22" spans="1:5" x14ac:dyDescent="0.25">
      <c r="A22" t="s">
        <v>191</v>
      </c>
      <c r="B22" t="s">
        <v>192</v>
      </c>
      <c r="C22">
        <v>120</v>
      </c>
      <c r="D22" t="s">
        <v>140</v>
      </c>
      <c r="E22" t="s">
        <v>193</v>
      </c>
    </row>
    <row r="23" spans="1:5" x14ac:dyDescent="0.25">
      <c r="A23" t="s">
        <v>194</v>
      </c>
      <c r="B23" t="s">
        <v>195</v>
      </c>
      <c r="C23">
        <v>120</v>
      </c>
      <c r="D23" t="s">
        <v>133</v>
      </c>
      <c r="E23" t="s">
        <v>196</v>
      </c>
    </row>
    <row r="24" spans="1:5" x14ac:dyDescent="0.25">
      <c r="A24" t="s">
        <v>197</v>
      </c>
      <c r="B24" t="s">
        <v>198</v>
      </c>
      <c r="C24">
        <v>120</v>
      </c>
      <c r="D24" t="s">
        <v>133</v>
      </c>
      <c r="E24" t="s">
        <v>199</v>
      </c>
    </row>
    <row r="25" spans="1:5" x14ac:dyDescent="0.25">
      <c r="A25" t="s">
        <v>200</v>
      </c>
      <c r="B25" t="s">
        <v>201</v>
      </c>
      <c r="C25">
        <v>120</v>
      </c>
      <c r="D25" t="s">
        <v>133</v>
      </c>
      <c r="E25" t="s">
        <v>202</v>
      </c>
    </row>
    <row r="26" spans="1:5" x14ac:dyDescent="0.25">
      <c r="A26" t="s">
        <v>203</v>
      </c>
      <c r="B26" t="s">
        <v>204</v>
      </c>
      <c r="C26">
        <v>120</v>
      </c>
      <c r="D26" t="s">
        <v>205</v>
      </c>
      <c r="E26" t="s">
        <v>202</v>
      </c>
    </row>
    <row r="27" spans="1:5" x14ac:dyDescent="0.25">
      <c r="A27" t="s">
        <v>206</v>
      </c>
      <c r="B27" t="s">
        <v>207</v>
      </c>
      <c r="C27">
        <v>120</v>
      </c>
      <c r="D27" t="s">
        <v>133</v>
      </c>
      <c r="E27" t="s">
        <v>208</v>
      </c>
    </row>
    <row r="28" spans="1:5" x14ac:dyDescent="0.25">
      <c r="A28" t="s">
        <v>209</v>
      </c>
      <c r="B28" t="s">
        <v>210</v>
      </c>
      <c r="C28">
        <v>120</v>
      </c>
      <c r="D28" t="s">
        <v>133</v>
      </c>
      <c r="E28" t="s">
        <v>211</v>
      </c>
    </row>
    <row r="29" spans="1:5" x14ac:dyDescent="0.25">
      <c r="A29" t="s">
        <v>212</v>
      </c>
      <c r="B29" t="s">
        <v>213</v>
      </c>
      <c r="C29">
        <v>120</v>
      </c>
      <c r="D29" t="s">
        <v>133</v>
      </c>
      <c r="E29" t="s">
        <v>214</v>
      </c>
    </row>
    <row r="30" spans="1:5" x14ac:dyDescent="0.25">
      <c r="A30" t="s">
        <v>215</v>
      </c>
      <c r="B30" t="s">
        <v>216</v>
      </c>
      <c r="C30">
        <v>120</v>
      </c>
      <c r="D30" t="s">
        <v>133</v>
      </c>
      <c r="E30" t="s">
        <v>217</v>
      </c>
    </row>
    <row r="31" spans="1:5" x14ac:dyDescent="0.25">
      <c r="A31" t="s">
        <v>218</v>
      </c>
      <c r="B31" t="s">
        <v>219</v>
      </c>
      <c r="C31">
        <v>120</v>
      </c>
      <c r="D31" t="s">
        <v>133</v>
      </c>
      <c r="E31" t="s">
        <v>220</v>
      </c>
    </row>
    <row r="32" spans="1:5" x14ac:dyDescent="0.25">
      <c r="A32" t="s">
        <v>221</v>
      </c>
      <c r="B32" t="s">
        <v>222</v>
      </c>
      <c r="C32">
        <v>120</v>
      </c>
      <c r="D32" t="s">
        <v>133</v>
      </c>
      <c r="E32" t="s">
        <v>223</v>
      </c>
    </row>
    <row r="33" spans="1:5" x14ac:dyDescent="0.25">
      <c r="A33" t="s">
        <v>224</v>
      </c>
      <c r="B33" t="s">
        <v>225</v>
      </c>
      <c r="C33">
        <v>120</v>
      </c>
      <c r="D33" t="s">
        <v>133</v>
      </c>
      <c r="E33" t="s">
        <v>226</v>
      </c>
    </row>
    <row r="34" spans="1:5" x14ac:dyDescent="0.25">
      <c r="A34" t="s">
        <v>227</v>
      </c>
      <c r="B34" t="s">
        <v>228</v>
      </c>
      <c r="C34">
        <v>120</v>
      </c>
      <c r="D34" t="s">
        <v>140</v>
      </c>
      <c r="E34" t="s">
        <v>229</v>
      </c>
    </row>
    <row r="35" spans="1:5" x14ac:dyDescent="0.25">
      <c r="A35" t="s">
        <v>230</v>
      </c>
      <c r="B35" t="s">
        <v>231</v>
      </c>
      <c r="C35">
        <v>120</v>
      </c>
      <c r="D35" t="s">
        <v>133</v>
      </c>
      <c r="E35" t="s">
        <v>232</v>
      </c>
    </row>
    <row r="36" spans="1:5" x14ac:dyDescent="0.25">
      <c r="A36" t="s">
        <v>233</v>
      </c>
      <c r="B36" t="s">
        <v>234</v>
      </c>
      <c r="C36">
        <v>120</v>
      </c>
      <c r="D36" t="s">
        <v>133</v>
      </c>
      <c r="E36" t="s">
        <v>235</v>
      </c>
    </row>
    <row r="37" spans="1:5" x14ac:dyDescent="0.25">
      <c r="A37" t="s">
        <v>236</v>
      </c>
      <c r="B37" t="s">
        <v>237</v>
      </c>
      <c r="C37">
        <v>120</v>
      </c>
      <c r="D37" t="s">
        <v>133</v>
      </c>
      <c r="E37" t="s">
        <v>238</v>
      </c>
    </row>
    <row r="38" spans="1:5" x14ac:dyDescent="0.25">
      <c r="A38" t="s">
        <v>239</v>
      </c>
      <c r="B38" t="s">
        <v>240</v>
      </c>
      <c r="C38">
        <v>120</v>
      </c>
      <c r="D38" t="s">
        <v>133</v>
      </c>
      <c r="E38" t="s">
        <v>241</v>
      </c>
    </row>
    <row r="39" spans="1:5" x14ac:dyDescent="0.25">
      <c r="A39" t="s">
        <v>242</v>
      </c>
      <c r="B39" t="s">
        <v>243</v>
      </c>
      <c r="C39">
        <v>240</v>
      </c>
      <c r="D39" t="s">
        <v>133</v>
      </c>
      <c r="E39" t="s">
        <v>241</v>
      </c>
    </row>
    <row r="40" spans="1:5" x14ac:dyDescent="0.25">
      <c r="A40" t="s">
        <v>244</v>
      </c>
      <c r="B40" t="s">
        <v>245</v>
      </c>
      <c r="C40">
        <v>120</v>
      </c>
      <c r="D40" t="s">
        <v>133</v>
      </c>
      <c r="E40" t="s">
        <v>246</v>
      </c>
    </row>
    <row r="41" spans="1:5" x14ac:dyDescent="0.25">
      <c r="A41" t="s">
        <v>247</v>
      </c>
      <c r="B41" t="s">
        <v>248</v>
      </c>
      <c r="C41">
        <v>120</v>
      </c>
      <c r="D41" t="s">
        <v>140</v>
      </c>
      <c r="E41" t="s">
        <v>249</v>
      </c>
    </row>
    <row r="42" spans="1:5" x14ac:dyDescent="0.25">
      <c r="A42" t="s">
        <v>250</v>
      </c>
      <c r="B42" t="s">
        <v>251</v>
      </c>
      <c r="C42">
        <v>120</v>
      </c>
      <c r="D42" t="s">
        <v>133</v>
      </c>
      <c r="E42" t="s">
        <v>252</v>
      </c>
    </row>
    <row r="43" spans="1:5" x14ac:dyDescent="0.25">
      <c r="A43" t="s">
        <v>253</v>
      </c>
      <c r="B43" t="s">
        <v>254</v>
      </c>
      <c r="C43">
        <v>120</v>
      </c>
      <c r="D43" t="s">
        <v>133</v>
      </c>
      <c r="E43" t="s">
        <v>255</v>
      </c>
    </row>
    <row r="44" spans="1:5" x14ac:dyDescent="0.25">
      <c r="A44" t="s">
        <v>256</v>
      </c>
      <c r="B44" t="s">
        <v>257</v>
      </c>
      <c r="C44">
        <v>120</v>
      </c>
      <c r="D44" t="s">
        <v>133</v>
      </c>
      <c r="E44" t="s">
        <v>258</v>
      </c>
    </row>
    <row r="45" spans="1:5" x14ac:dyDescent="0.25">
      <c r="A45" t="s">
        <v>259</v>
      </c>
      <c r="B45" t="s">
        <v>260</v>
      </c>
      <c r="C45">
        <v>120</v>
      </c>
      <c r="D45" t="s">
        <v>133</v>
      </c>
      <c r="E45" t="s">
        <v>261</v>
      </c>
    </row>
    <row r="46" spans="1:5" x14ac:dyDescent="0.25">
      <c r="A46" t="s">
        <v>262</v>
      </c>
      <c r="B46" t="s">
        <v>263</v>
      </c>
      <c r="C46">
        <v>120</v>
      </c>
      <c r="D46" t="s">
        <v>133</v>
      </c>
      <c r="E46" t="s">
        <v>264</v>
      </c>
    </row>
    <row r="47" spans="1:5" x14ac:dyDescent="0.25">
      <c r="A47" t="s">
        <v>265</v>
      </c>
      <c r="B47" t="s">
        <v>266</v>
      </c>
      <c r="C47">
        <v>120</v>
      </c>
      <c r="D47" t="s">
        <v>133</v>
      </c>
      <c r="E47" t="s">
        <v>267</v>
      </c>
    </row>
    <row r="48" spans="1:5" x14ac:dyDescent="0.25">
      <c r="A48" t="s">
        <v>268</v>
      </c>
      <c r="B48" t="s">
        <v>269</v>
      </c>
      <c r="C48">
        <v>120</v>
      </c>
      <c r="D48" t="s">
        <v>133</v>
      </c>
      <c r="E48" t="s">
        <v>270</v>
      </c>
    </row>
    <row r="49" spans="1:5" x14ac:dyDescent="0.25">
      <c r="A49" t="s">
        <v>271</v>
      </c>
      <c r="B49" t="s">
        <v>272</v>
      </c>
      <c r="C49">
        <v>120</v>
      </c>
      <c r="D49" t="s">
        <v>133</v>
      </c>
      <c r="E49" t="s">
        <v>273</v>
      </c>
    </row>
    <row r="50" spans="1:5" x14ac:dyDescent="0.25">
      <c r="A50" t="s">
        <v>274</v>
      </c>
      <c r="B50" t="s">
        <v>275</v>
      </c>
      <c r="C50">
        <v>120</v>
      </c>
      <c r="D50" t="s">
        <v>133</v>
      </c>
      <c r="E50" t="s">
        <v>276</v>
      </c>
    </row>
    <row r="51" spans="1:5" x14ac:dyDescent="0.25">
      <c r="A51" t="s">
        <v>277</v>
      </c>
      <c r="B51" t="s">
        <v>278</v>
      </c>
      <c r="C51">
        <v>120</v>
      </c>
      <c r="D51" t="s">
        <v>133</v>
      </c>
      <c r="E51" t="s">
        <v>279</v>
      </c>
    </row>
    <row r="52" spans="1:5" x14ac:dyDescent="0.25">
      <c r="A52" t="s">
        <v>280</v>
      </c>
      <c r="B52" t="s">
        <v>281</v>
      </c>
      <c r="C52">
        <v>120</v>
      </c>
      <c r="D52" t="s">
        <v>133</v>
      </c>
      <c r="E52" t="s">
        <v>282</v>
      </c>
    </row>
    <row r="53" spans="1:5" x14ac:dyDescent="0.25">
      <c r="A53" t="s">
        <v>283</v>
      </c>
      <c r="B53" t="s">
        <v>284</v>
      </c>
      <c r="C53">
        <v>120</v>
      </c>
      <c r="D53" t="s">
        <v>133</v>
      </c>
      <c r="E53" t="s">
        <v>285</v>
      </c>
    </row>
    <row r="54" spans="1:5" x14ac:dyDescent="0.25">
      <c r="A54" t="s">
        <v>286</v>
      </c>
      <c r="B54" t="s">
        <v>287</v>
      </c>
      <c r="C54">
        <v>120</v>
      </c>
      <c r="D54" t="s">
        <v>133</v>
      </c>
      <c r="E54" t="s">
        <v>288</v>
      </c>
    </row>
    <row r="55" spans="1:5" x14ac:dyDescent="0.25">
      <c r="A55" t="s">
        <v>289</v>
      </c>
      <c r="B55" t="s">
        <v>290</v>
      </c>
      <c r="C55">
        <v>120</v>
      </c>
      <c r="D55" t="s">
        <v>133</v>
      </c>
      <c r="E55" t="s">
        <v>291</v>
      </c>
    </row>
    <row r="56" spans="1:5" x14ac:dyDescent="0.25">
      <c r="A56" t="s">
        <v>292</v>
      </c>
      <c r="B56" t="s">
        <v>293</v>
      </c>
      <c r="C56">
        <v>120</v>
      </c>
      <c r="D56" t="s">
        <v>133</v>
      </c>
      <c r="E56" t="s">
        <v>294</v>
      </c>
    </row>
    <row r="57" spans="1:5" x14ac:dyDescent="0.25">
      <c r="A57" t="s">
        <v>295</v>
      </c>
      <c r="B57" t="s">
        <v>296</v>
      </c>
      <c r="C57">
        <v>120</v>
      </c>
      <c r="D57" t="s">
        <v>133</v>
      </c>
      <c r="E57" t="s">
        <v>297</v>
      </c>
    </row>
    <row r="58" spans="1:5" x14ac:dyDescent="0.25">
      <c r="A58" t="s">
        <v>298</v>
      </c>
      <c r="B58" t="s">
        <v>299</v>
      </c>
      <c r="C58">
        <v>120</v>
      </c>
      <c r="D58" t="s">
        <v>133</v>
      </c>
      <c r="E58" t="s">
        <v>300</v>
      </c>
    </row>
    <row r="59" spans="1:5" x14ac:dyDescent="0.25">
      <c r="A59" t="s">
        <v>301</v>
      </c>
      <c r="B59" t="s">
        <v>302</v>
      </c>
      <c r="C59">
        <v>120</v>
      </c>
      <c r="D59" t="s">
        <v>133</v>
      </c>
      <c r="E59" t="s">
        <v>303</v>
      </c>
    </row>
    <row r="60" spans="1:5" x14ac:dyDescent="0.25">
      <c r="A60" t="s">
        <v>304</v>
      </c>
      <c r="B60" t="s">
        <v>305</v>
      </c>
      <c r="C60">
        <v>120</v>
      </c>
      <c r="D60" t="s">
        <v>133</v>
      </c>
      <c r="E60" t="s">
        <v>306</v>
      </c>
    </row>
    <row r="61" spans="1:5" x14ac:dyDescent="0.25">
      <c r="A61" t="s">
        <v>307</v>
      </c>
      <c r="B61" t="s">
        <v>308</v>
      </c>
      <c r="C61">
        <v>120</v>
      </c>
      <c r="D61" t="s">
        <v>140</v>
      </c>
      <c r="E61" t="s">
        <v>309</v>
      </c>
    </row>
    <row r="62" spans="1:5" x14ac:dyDescent="0.25">
      <c r="A62" t="s">
        <v>310</v>
      </c>
      <c r="B62" t="s">
        <v>311</v>
      </c>
      <c r="C62">
        <v>120</v>
      </c>
      <c r="D62" t="s">
        <v>133</v>
      </c>
      <c r="E62" t="s">
        <v>312</v>
      </c>
    </row>
    <row r="63" spans="1:5" x14ac:dyDescent="0.25">
      <c r="A63" t="s">
        <v>313</v>
      </c>
      <c r="B63" t="s">
        <v>314</v>
      </c>
      <c r="C63">
        <v>120</v>
      </c>
      <c r="D63" t="s">
        <v>133</v>
      </c>
      <c r="E63" t="s">
        <v>315</v>
      </c>
    </row>
    <row r="64" spans="1:5" x14ac:dyDescent="0.25">
      <c r="A64" t="s">
        <v>316</v>
      </c>
      <c r="B64" t="s">
        <v>317</v>
      </c>
      <c r="C64">
        <v>120</v>
      </c>
      <c r="D64" t="s">
        <v>133</v>
      </c>
      <c r="E64" t="s">
        <v>318</v>
      </c>
    </row>
    <row r="65" spans="1:5" x14ac:dyDescent="0.25">
      <c r="A65" t="s">
        <v>319</v>
      </c>
      <c r="B65" t="s">
        <v>320</v>
      </c>
      <c r="C65">
        <v>120</v>
      </c>
      <c r="D65" t="s">
        <v>133</v>
      </c>
      <c r="E65" t="s">
        <v>321</v>
      </c>
    </row>
    <row r="66" spans="1:5" x14ac:dyDescent="0.25">
      <c r="A66" t="s">
        <v>322</v>
      </c>
      <c r="B66" t="s">
        <v>323</v>
      </c>
      <c r="C66">
        <v>120</v>
      </c>
      <c r="D66" t="s">
        <v>133</v>
      </c>
      <c r="E66" t="s">
        <v>324</v>
      </c>
    </row>
    <row r="67" spans="1:5" x14ac:dyDescent="0.25">
      <c r="A67" t="s">
        <v>325</v>
      </c>
      <c r="B67" t="s">
        <v>326</v>
      </c>
      <c r="C67">
        <v>120</v>
      </c>
      <c r="D67" t="s">
        <v>133</v>
      </c>
      <c r="E67" t="s">
        <v>327</v>
      </c>
    </row>
    <row r="68" spans="1:5" x14ac:dyDescent="0.25">
      <c r="A68" t="s">
        <v>328</v>
      </c>
      <c r="B68" t="s">
        <v>329</v>
      </c>
      <c r="C68">
        <v>120</v>
      </c>
      <c r="D68" t="s">
        <v>140</v>
      </c>
      <c r="E68" t="s">
        <v>330</v>
      </c>
    </row>
    <row r="69" spans="1:5" x14ac:dyDescent="0.25">
      <c r="A69" t="s">
        <v>331</v>
      </c>
      <c r="B69" t="s">
        <v>332</v>
      </c>
      <c r="C69">
        <v>120</v>
      </c>
      <c r="D69" t="s">
        <v>133</v>
      </c>
      <c r="E69" t="s">
        <v>333</v>
      </c>
    </row>
    <row r="70" spans="1:5" x14ac:dyDescent="0.25">
      <c r="A70" t="s">
        <v>334</v>
      </c>
      <c r="B70" t="s">
        <v>335</v>
      </c>
      <c r="C70">
        <v>120</v>
      </c>
      <c r="D70" t="s">
        <v>133</v>
      </c>
      <c r="E70" t="s">
        <v>336</v>
      </c>
    </row>
    <row r="71" spans="1:5" x14ac:dyDescent="0.25">
      <c r="A71" t="s">
        <v>337</v>
      </c>
      <c r="B71" t="s">
        <v>338</v>
      </c>
      <c r="C71">
        <v>120</v>
      </c>
      <c r="D71" t="s">
        <v>133</v>
      </c>
      <c r="E71" t="s">
        <v>339</v>
      </c>
    </row>
    <row r="72" spans="1:5" x14ac:dyDescent="0.25">
      <c r="A72" t="s">
        <v>340</v>
      </c>
      <c r="B72" t="s">
        <v>341</v>
      </c>
      <c r="C72">
        <v>120</v>
      </c>
      <c r="D72" t="s">
        <v>140</v>
      </c>
      <c r="E72" t="s">
        <v>342</v>
      </c>
    </row>
    <row r="73" spans="1:5" x14ac:dyDescent="0.25">
      <c r="A73" t="s">
        <v>343</v>
      </c>
      <c r="B73" t="s">
        <v>344</v>
      </c>
      <c r="C73">
        <v>120</v>
      </c>
      <c r="D73" t="s">
        <v>140</v>
      </c>
      <c r="E73" t="s">
        <v>345</v>
      </c>
    </row>
    <row r="74" spans="1:5" x14ac:dyDescent="0.25">
      <c r="A74" t="s">
        <v>346</v>
      </c>
      <c r="B74" t="s">
        <v>347</v>
      </c>
      <c r="C74">
        <v>120</v>
      </c>
      <c r="D74" t="s">
        <v>133</v>
      </c>
      <c r="E74" t="s">
        <v>348</v>
      </c>
    </row>
    <row r="75" spans="1:5" x14ac:dyDescent="0.25">
      <c r="A75" t="s">
        <v>349</v>
      </c>
      <c r="B75" t="s">
        <v>350</v>
      </c>
      <c r="C75">
        <v>120</v>
      </c>
      <c r="D75" t="s">
        <v>133</v>
      </c>
      <c r="E75" t="s">
        <v>351</v>
      </c>
    </row>
    <row r="76" spans="1:5" x14ac:dyDescent="0.25">
      <c r="A76" t="s">
        <v>352</v>
      </c>
      <c r="B76" t="s">
        <v>353</v>
      </c>
      <c r="C76">
        <v>120</v>
      </c>
      <c r="D76" t="s">
        <v>133</v>
      </c>
      <c r="E76" t="s">
        <v>354</v>
      </c>
    </row>
    <row r="77" spans="1:5" x14ac:dyDescent="0.25">
      <c r="A77" t="s">
        <v>355</v>
      </c>
      <c r="B77" t="s">
        <v>356</v>
      </c>
      <c r="C77">
        <v>120</v>
      </c>
      <c r="D77" t="s">
        <v>133</v>
      </c>
      <c r="E77" t="s">
        <v>357</v>
      </c>
    </row>
    <row r="78" spans="1:5" x14ac:dyDescent="0.25">
      <c r="A78" t="s">
        <v>358</v>
      </c>
      <c r="B78" t="s">
        <v>359</v>
      </c>
      <c r="C78">
        <v>120</v>
      </c>
      <c r="D78" t="s">
        <v>133</v>
      </c>
      <c r="E78" t="s">
        <v>360</v>
      </c>
    </row>
    <row r="79" spans="1:5" x14ac:dyDescent="0.25">
      <c r="A79" t="s">
        <v>361</v>
      </c>
      <c r="B79" t="s">
        <v>362</v>
      </c>
      <c r="C79">
        <v>120</v>
      </c>
      <c r="D79" t="s">
        <v>133</v>
      </c>
      <c r="E79" t="s">
        <v>363</v>
      </c>
    </row>
    <row r="80" spans="1:5" x14ac:dyDescent="0.25">
      <c r="A80" t="s">
        <v>364</v>
      </c>
      <c r="B80" t="s">
        <v>365</v>
      </c>
      <c r="C80">
        <v>120</v>
      </c>
      <c r="D80" t="s">
        <v>133</v>
      </c>
      <c r="E80" t="s">
        <v>366</v>
      </c>
    </row>
    <row r="81" spans="1:5" x14ac:dyDescent="0.25">
      <c r="A81" t="s">
        <v>367</v>
      </c>
      <c r="B81" t="s">
        <v>368</v>
      </c>
      <c r="C81">
        <v>120</v>
      </c>
      <c r="D81" t="s">
        <v>133</v>
      </c>
      <c r="E81" t="s">
        <v>369</v>
      </c>
    </row>
    <row r="82" spans="1:5" x14ac:dyDescent="0.25">
      <c r="A82" t="s">
        <v>370</v>
      </c>
      <c r="B82" t="s">
        <v>371</v>
      </c>
      <c r="C82">
        <v>120</v>
      </c>
      <c r="D82" t="s">
        <v>133</v>
      </c>
      <c r="E82" t="s">
        <v>372</v>
      </c>
    </row>
    <row r="83" spans="1:5" x14ac:dyDescent="0.25">
      <c r="A83" t="s">
        <v>373</v>
      </c>
      <c r="B83" t="s">
        <v>374</v>
      </c>
      <c r="C83">
        <v>120</v>
      </c>
      <c r="D83" t="s">
        <v>133</v>
      </c>
      <c r="E83" t="s">
        <v>375</v>
      </c>
    </row>
    <row r="84" spans="1:5" x14ac:dyDescent="0.25">
      <c r="A84" t="s">
        <v>376</v>
      </c>
      <c r="B84" t="s">
        <v>377</v>
      </c>
      <c r="C84">
        <v>120</v>
      </c>
      <c r="D84" t="s">
        <v>133</v>
      </c>
      <c r="E84" t="s">
        <v>378</v>
      </c>
    </row>
    <row r="85" spans="1:5" x14ac:dyDescent="0.25">
      <c r="A85" t="s">
        <v>379</v>
      </c>
      <c r="B85" t="s">
        <v>380</v>
      </c>
      <c r="C85">
        <v>120</v>
      </c>
      <c r="D85" t="s">
        <v>133</v>
      </c>
      <c r="E85" t="s">
        <v>381</v>
      </c>
    </row>
    <row r="86" spans="1:5" x14ac:dyDescent="0.25">
      <c r="A86" t="s">
        <v>382</v>
      </c>
      <c r="B86" t="s">
        <v>383</v>
      </c>
      <c r="C86">
        <v>120</v>
      </c>
      <c r="D86" t="s">
        <v>133</v>
      </c>
      <c r="E86" t="s">
        <v>384</v>
      </c>
    </row>
    <row r="87" spans="1:5" x14ac:dyDescent="0.25">
      <c r="A87" t="s">
        <v>385</v>
      </c>
      <c r="B87" t="s">
        <v>386</v>
      </c>
      <c r="C87">
        <v>120</v>
      </c>
      <c r="D87" t="s">
        <v>133</v>
      </c>
      <c r="E87" t="s">
        <v>387</v>
      </c>
    </row>
    <row r="88" spans="1:5" x14ac:dyDescent="0.25">
      <c r="A88" t="s">
        <v>388</v>
      </c>
      <c r="B88" t="s">
        <v>389</v>
      </c>
      <c r="C88">
        <v>120</v>
      </c>
      <c r="D88" t="s">
        <v>133</v>
      </c>
      <c r="E88" t="s">
        <v>390</v>
      </c>
    </row>
    <row r="89" spans="1:5" x14ac:dyDescent="0.25">
      <c r="A89" t="s">
        <v>391</v>
      </c>
      <c r="B89" t="s">
        <v>392</v>
      </c>
      <c r="C89">
        <v>120</v>
      </c>
      <c r="D89" t="s">
        <v>133</v>
      </c>
      <c r="E89" t="s">
        <v>393</v>
      </c>
    </row>
    <row r="90" spans="1:5" x14ac:dyDescent="0.25">
      <c r="A90" t="s">
        <v>394</v>
      </c>
      <c r="B90" t="s">
        <v>395</v>
      </c>
      <c r="C90">
        <v>120</v>
      </c>
      <c r="D90" t="s">
        <v>140</v>
      </c>
      <c r="E90" t="s">
        <v>396</v>
      </c>
    </row>
    <row r="91" spans="1:5" x14ac:dyDescent="0.25">
      <c r="A91" t="s">
        <v>397</v>
      </c>
      <c r="B91" t="s">
        <v>398</v>
      </c>
      <c r="C91">
        <v>120</v>
      </c>
      <c r="D91" t="s">
        <v>133</v>
      </c>
      <c r="E91" t="s">
        <v>399</v>
      </c>
    </row>
    <row r="92" spans="1:5" x14ac:dyDescent="0.25">
      <c r="A92" t="s">
        <v>400</v>
      </c>
      <c r="B92" t="s">
        <v>401</v>
      </c>
      <c r="C92">
        <v>120</v>
      </c>
      <c r="D92" t="s">
        <v>133</v>
      </c>
      <c r="E92" t="s">
        <v>402</v>
      </c>
    </row>
    <row r="93" spans="1:5" x14ac:dyDescent="0.25">
      <c r="A93" t="s">
        <v>403</v>
      </c>
      <c r="B93" t="s">
        <v>404</v>
      </c>
      <c r="C93">
        <v>120</v>
      </c>
      <c r="D93" t="s">
        <v>133</v>
      </c>
      <c r="E93" t="s">
        <v>405</v>
      </c>
    </row>
    <row r="94" spans="1:5" x14ac:dyDescent="0.25">
      <c r="A94" t="s">
        <v>406</v>
      </c>
      <c r="B94" t="s">
        <v>407</v>
      </c>
      <c r="C94">
        <v>120</v>
      </c>
      <c r="D94" t="s">
        <v>133</v>
      </c>
      <c r="E94" t="s">
        <v>408</v>
      </c>
    </row>
    <row r="95" spans="1:5" x14ac:dyDescent="0.25">
      <c r="A95" t="s">
        <v>409</v>
      </c>
      <c r="B95" t="s">
        <v>410</v>
      </c>
      <c r="C95">
        <v>120</v>
      </c>
      <c r="D95" t="s">
        <v>133</v>
      </c>
      <c r="E95" t="s">
        <v>411</v>
      </c>
    </row>
    <row r="96" spans="1:5" x14ac:dyDescent="0.25">
      <c r="A96" t="s">
        <v>412</v>
      </c>
      <c r="B96" t="s">
        <v>413</v>
      </c>
      <c r="C96">
        <v>120</v>
      </c>
      <c r="D96" t="s">
        <v>133</v>
      </c>
      <c r="E96" t="s">
        <v>414</v>
      </c>
    </row>
    <row r="97" spans="1:5" x14ac:dyDescent="0.25">
      <c r="A97" t="s">
        <v>415</v>
      </c>
      <c r="B97" t="s">
        <v>416</v>
      </c>
      <c r="C97">
        <v>120</v>
      </c>
      <c r="D97" t="s">
        <v>133</v>
      </c>
      <c r="E97" t="s">
        <v>417</v>
      </c>
    </row>
    <row r="98" spans="1:5" x14ac:dyDescent="0.25">
      <c r="A98" t="s">
        <v>418</v>
      </c>
      <c r="B98" t="s">
        <v>419</v>
      </c>
      <c r="C98">
        <v>120</v>
      </c>
      <c r="D98" t="s">
        <v>133</v>
      </c>
      <c r="E98" t="s">
        <v>420</v>
      </c>
    </row>
    <row r="99" spans="1:5" x14ac:dyDescent="0.25">
      <c r="A99" t="s">
        <v>421</v>
      </c>
      <c r="B99" t="s">
        <v>422</v>
      </c>
      <c r="C99">
        <v>120</v>
      </c>
      <c r="D99" t="s">
        <v>133</v>
      </c>
      <c r="E99" t="s">
        <v>423</v>
      </c>
    </row>
    <row r="100" spans="1:5" x14ac:dyDescent="0.25">
      <c r="A100" t="s">
        <v>424</v>
      </c>
      <c r="B100" t="s">
        <v>425</v>
      </c>
      <c r="C100">
        <v>120</v>
      </c>
      <c r="D100" t="s">
        <v>133</v>
      </c>
      <c r="E100" t="s">
        <v>426</v>
      </c>
    </row>
    <row r="101" spans="1:5" x14ac:dyDescent="0.25">
      <c r="A101" t="s">
        <v>427</v>
      </c>
      <c r="B101" t="s">
        <v>428</v>
      </c>
      <c r="C101">
        <v>120</v>
      </c>
      <c r="D101" t="s">
        <v>133</v>
      </c>
      <c r="E101" t="s">
        <v>429</v>
      </c>
    </row>
    <row r="102" spans="1:5" x14ac:dyDescent="0.25">
      <c r="A102" t="s">
        <v>430</v>
      </c>
      <c r="B102" t="s">
        <v>431</v>
      </c>
      <c r="C102">
        <v>120</v>
      </c>
      <c r="D102" t="s">
        <v>133</v>
      </c>
      <c r="E102" t="s">
        <v>432</v>
      </c>
    </row>
    <row r="103" spans="1:5" x14ac:dyDescent="0.25">
      <c r="A103" t="s">
        <v>433</v>
      </c>
      <c r="B103" t="s">
        <v>434</v>
      </c>
      <c r="C103">
        <v>120</v>
      </c>
      <c r="D103" t="s">
        <v>140</v>
      </c>
      <c r="E103" t="s">
        <v>435</v>
      </c>
    </row>
    <row r="104" spans="1:5" x14ac:dyDescent="0.25">
      <c r="A104" t="s">
        <v>436</v>
      </c>
      <c r="B104" t="s">
        <v>437</v>
      </c>
      <c r="C104">
        <v>120</v>
      </c>
      <c r="D104" t="s">
        <v>133</v>
      </c>
      <c r="E104" t="s">
        <v>438</v>
      </c>
    </row>
    <row r="105" spans="1:5" x14ac:dyDescent="0.25">
      <c r="A105" t="s">
        <v>439</v>
      </c>
      <c r="B105" t="s">
        <v>440</v>
      </c>
      <c r="C105">
        <v>120</v>
      </c>
      <c r="D105" t="s">
        <v>133</v>
      </c>
      <c r="E105" t="s">
        <v>441</v>
      </c>
    </row>
    <row r="106" spans="1:5" x14ac:dyDescent="0.25">
      <c r="A106" t="s">
        <v>442</v>
      </c>
      <c r="B106" t="s">
        <v>443</v>
      </c>
      <c r="C106">
        <v>120</v>
      </c>
      <c r="D106" t="s">
        <v>133</v>
      </c>
      <c r="E106" t="s">
        <v>444</v>
      </c>
    </row>
    <row r="107" spans="1:5" x14ac:dyDescent="0.25">
      <c r="A107" t="s">
        <v>445</v>
      </c>
      <c r="B107" t="s">
        <v>446</v>
      </c>
      <c r="C107">
        <v>120</v>
      </c>
      <c r="D107" t="s">
        <v>133</v>
      </c>
      <c r="E107" t="s">
        <v>447</v>
      </c>
    </row>
    <row r="108" spans="1:5" x14ac:dyDescent="0.25">
      <c r="A108" t="s">
        <v>448</v>
      </c>
      <c r="B108" t="s">
        <v>449</v>
      </c>
      <c r="C108">
        <v>120</v>
      </c>
      <c r="D108" t="s">
        <v>133</v>
      </c>
      <c r="E108" t="s">
        <v>450</v>
      </c>
    </row>
    <row r="109" spans="1:5" x14ac:dyDescent="0.25">
      <c r="A109" t="s">
        <v>451</v>
      </c>
      <c r="B109" t="s">
        <v>452</v>
      </c>
      <c r="C109">
        <v>120</v>
      </c>
      <c r="D109" t="s">
        <v>133</v>
      </c>
      <c r="E109" t="s">
        <v>453</v>
      </c>
    </row>
    <row r="110" spans="1:5" x14ac:dyDescent="0.25">
      <c r="A110" t="s">
        <v>454</v>
      </c>
      <c r="B110" t="s">
        <v>455</v>
      </c>
      <c r="C110">
        <v>120</v>
      </c>
      <c r="D110" t="s">
        <v>133</v>
      </c>
      <c r="E110" t="s">
        <v>456</v>
      </c>
    </row>
    <row r="111" spans="1:5" x14ac:dyDescent="0.25">
      <c r="A111" t="s">
        <v>457</v>
      </c>
      <c r="B111" t="s">
        <v>458</v>
      </c>
      <c r="C111">
        <v>120</v>
      </c>
      <c r="D111" t="s">
        <v>133</v>
      </c>
      <c r="E111" t="s">
        <v>459</v>
      </c>
    </row>
    <row r="112" spans="1:5" x14ac:dyDescent="0.25">
      <c r="A112" t="s">
        <v>460</v>
      </c>
      <c r="B112" t="s">
        <v>461</v>
      </c>
      <c r="C112">
        <v>120</v>
      </c>
      <c r="D112" t="s">
        <v>133</v>
      </c>
      <c r="E112" t="s">
        <v>462</v>
      </c>
    </row>
    <row r="113" spans="1:5" x14ac:dyDescent="0.25">
      <c r="A113" t="s">
        <v>463</v>
      </c>
      <c r="B113" t="s">
        <v>464</v>
      </c>
      <c r="C113">
        <v>120</v>
      </c>
      <c r="D113" t="s">
        <v>133</v>
      </c>
      <c r="E113" t="s">
        <v>465</v>
      </c>
    </row>
    <row r="114" spans="1:5" x14ac:dyDescent="0.25">
      <c r="A114" t="s">
        <v>466</v>
      </c>
      <c r="B114" t="s">
        <v>467</v>
      </c>
      <c r="C114">
        <v>120</v>
      </c>
      <c r="D114" t="s">
        <v>133</v>
      </c>
      <c r="E114" t="s">
        <v>468</v>
      </c>
    </row>
    <row r="115" spans="1:5" x14ac:dyDescent="0.25">
      <c r="A115" t="s">
        <v>469</v>
      </c>
      <c r="B115" t="s">
        <v>470</v>
      </c>
      <c r="C115">
        <v>120</v>
      </c>
      <c r="D115" t="s">
        <v>133</v>
      </c>
      <c r="E115" t="s">
        <v>471</v>
      </c>
    </row>
    <row r="116" spans="1:5" x14ac:dyDescent="0.25">
      <c r="A116" t="s">
        <v>472</v>
      </c>
      <c r="B116" t="s">
        <v>473</v>
      </c>
      <c r="C116">
        <v>120</v>
      </c>
      <c r="D116" t="s">
        <v>133</v>
      </c>
      <c r="E116" t="s">
        <v>474</v>
      </c>
    </row>
    <row r="117" spans="1:5" x14ac:dyDescent="0.25">
      <c r="A117" t="s">
        <v>475</v>
      </c>
      <c r="B117" t="s">
        <v>476</v>
      </c>
      <c r="C117">
        <v>120</v>
      </c>
      <c r="D117" t="s">
        <v>133</v>
      </c>
      <c r="E117" t="s">
        <v>477</v>
      </c>
    </row>
    <row r="118" spans="1:5" x14ac:dyDescent="0.25">
      <c r="A118" t="s">
        <v>478</v>
      </c>
      <c r="B118" t="s">
        <v>479</v>
      </c>
      <c r="C118">
        <v>120</v>
      </c>
      <c r="D118" t="s">
        <v>133</v>
      </c>
      <c r="E118" t="s">
        <v>480</v>
      </c>
    </row>
    <row r="119" spans="1:5" x14ac:dyDescent="0.25">
      <c r="A119" t="s">
        <v>481</v>
      </c>
      <c r="B119" t="s">
        <v>482</v>
      </c>
      <c r="C119">
        <v>120</v>
      </c>
      <c r="D119" t="s">
        <v>133</v>
      </c>
      <c r="E119" t="s">
        <v>483</v>
      </c>
    </row>
    <row r="120" spans="1:5" x14ac:dyDescent="0.25">
      <c r="A120" t="s">
        <v>484</v>
      </c>
      <c r="B120" t="s">
        <v>485</v>
      </c>
      <c r="C120">
        <v>120</v>
      </c>
      <c r="D120" t="s">
        <v>133</v>
      </c>
      <c r="E120" t="s">
        <v>486</v>
      </c>
    </row>
    <row r="121" spans="1:5" x14ac:dyDescent="0.25">
      <c r="A121" t="s">
        <v>487</v>
      </c>
      <c r="B121" t="s">
        <v>488</v>
      </c>
      <c r="C121">
        <v>120</v>
      </c>
      <c r="D121" t="s">
        <v>133</v>
      </c>
      <c r="E121" t="s">
        <v>489</v>
      </c>
    </row>
    <row r="122" spans="1:5" x14ac:dyDescent="0.25">
      <c r="A122" t="s">
        <v>490</v>
      </c>
      <c r="B122" t="s">
        <v>491</v>
      </c>
      <c r="C122">
        <v>120</v>
      </c>
      <c r="D122" t="s">
        <v>133</v>
      </c>
      <c r="E122" t="s">
        <v>492</v>
      </c>
    </row>
    <row r="123" spans="1:5" x14ac:dyDescent="0.25">
      <c r="A123" t="s">
        <v>493</v>
      </c>
      <c r="B123" t="s">
        <v>494</v>
      </c>
      <c r="C123">
        <v>120</v>
      </c>
      <c r="D123" t="s">
        <v>133</v>
      </c>
      <c r="E123" t="s">
        <v>495</v>
      </c>
    </row>
    <row r="124" spans="1:5" x14ac:dyDescent="0.25">
      <c r="A124" t="s">
        <v>496</v>
      </c>
      <c r="B124" t="s">
        <v>497</v>
      </c>
      <c r="C124">
        <v>120</v>
      </c>
      <c r="D124" t="s">
        <v>133</v>
      </c>
      <c r="E124" t="s">
        <v>498</v>
      </c>
    </row>
    <row r="125" spans="1:5" x14ac:dyDescent="0.25">
      <c r="A125" t="s">
        <v>499</v>
      </c>
      <c r="B125" t="s">
        <v>500</v>
      </c>
      <c r="C125">
        <v>120</v>
      </c>
      <c r="D125" t="s">
        <v>133</v>
      </c>
      <c r="E125" t="s">
        <v>501</v>
      </c>
    </row>
    <row r="126" spans="1:5" x14ac:dyDescent="0.25">
      <c r="A126" t="s">
        <v>502</v>
      </c>
      <c r="B126" t="s">
        <v>503</v>
      </c>
      <c r="C126">
        <v>120</v>
      </c>
      <c r="D126" t="s">
        <v>133</v>
      </c>
      <c r="E126" t="s">
        <v>504</v>
      </c>
    </row>
    <row r="127" spans="1:5" x14ac:dyDescent="0.25">
      <c r="A127" t="s">
        <v>505</v>
      </c>
      <c r="B127" t="s">
        <v>506</v>
      </c>
      <c r="C127">
        <v>120</v>
      </c>
      <c r="D127" t="s">
        <v>133</v>
      </c>
      <c r="E127" t="s">
        <v>507</v>
      </c>
    </row>
    <row r="128" spans="1:5" x14ac:dyDescent="0.25">
      <c r="A128" t="s">
        <v>508</v>
      </c>
      <c r="B128" t="s">
        <v>509</v>
      </c>
      <c r="C128">
        <v>120</v>
      </c>
      <c r="D128" t="s">
        <v>133</v>
      </c>
      <c r="E128" t="s">
        <v>510</v>
      </c>
    </row>
    <row r="129" spans="1:5" x14ac:dyDescent="0.25">
      <c r="A129" t="s">
        <v>511</v>
      </c>
      <c r="B129" t="s">
        <v>512</v>
      </c>
      <c r="C129">
        <v>120</v>
      </c>
      <c r="D129" t="s">
        <v>133</v>
      </c>
      <c r="E129" t="s">
        <v>513</v>
      </c>
    </row>
    <row r="130" spans="1:5" x14ac:dyDescent="0.25">
      <c r="A130" t="s">
        <v>514</v>
      </c>
      <c r="B130" t="s">
        <v>515</v>
      </c>
      <c r="C130">
        <v>120</v>
      </c>
      <c r="D130" t="s">
        <v>133</v>
      </c>
      <c r="E130" t="s">
        <v>516</v>
      </c>
    </row>
    <row r="131" spans="1:5" x14ac:dyDescent="0.25">
      <c r="A131" t="s">
        <v>517</v>
      </c>
      <c r="B131" t="s">
        <v>518</v>
      </c>
      <c r="C131">
        <v>120</v>
      </c>
      <c r="D131" t="s">
        <v>133</v>
      </c>
      <c r="E131" t="s">
        <v>519</v>
      </c>
    </row>
    <row r="132" spans="1:5" x14ac:dyDescent="0.25">
      <c r="A132" t="s">
        <v>520</v>
      </c>
      <c r="B132" t="s">
        <v>521</v>
      </c>
      <c r="C132">
        <v>120</v>
      </c>
      <c r="D132" t="s">
        <v>140</v>
      </c>
      <c r="E132" t="s">
        <v>522</v>
      </c>
    </row>
    <row r="133" spans="1:5" x14ac:dyDescent="0.25">
      <c r="A133" t="s">
        <v>523</v>
      </c>
      <c r="B133" t="s">
        <v>524</v>
      </c>
      <c r="C133">
        <v>120</v>
      </c>
      <c r="D133" t="s">
        <v>133</v>
      </c>
      <c r="E133" t="s">
        <v>525</v>
      </c>
    </row>
    <row r="134" spans="1:5" x14ac:dyDescent="0.25">
      <c r="A134" t="s">
        <v>526</v>
      </c>
      <c r="B134" t="s">
        <v>527</v>
      </c>
      <c r="C134">
        <v>120</v>
      </c>
      <c r="D134" t="s">
        <v>133</v>
      </c>
      <c r="E134" t="s">
        <v>528</v>
      </c>
    </row>
    <row r="135" spans="1:5" x14ac:dyDescent="0.25">
      <c r="A135" t="s">
        <v>529</v>
      </c>
      <c r="B135" t="s">
        <v>530</v>
      </c>
      <c r="C135">
        <v>120</v>
      </c>
      <c r="D135" t="s">
        <v>133</v>
      </c>
      <c r="E135" t="s">
        <v>531</v>
      </c>
    </row>
    <row r="136" spans="1:5" x14ac:dyDescent="0.25">
      <c r="A136" t="s">
        <v>532</v>
      </c>
      <c r="B136" t="s">
        <v>533</v>
      </c>
      <c r="C136">
        <v>120</v>
      </c>
      <c r="D136" t="s">
        <v>133</v>
      </c>
      <c r="E136" t="s">
        <v>534</v>
      </c>
    </row>
    <row r="137" spans="1:5" x14ac:dyDescent="0.25">
      <c r="A137" t="s">
        <v>535</v>
      </c>
      <c r="B137" t="s">
        <v>536</v>
      </c>
      <c r="C137">
        <v>120</v>
      </c>
      <c r="D137" t="s">
        <v>133</v>
      </c>
      <c r="E137" t="s">
        <v>537</v>
      </c>
    </row>
    <row r="138" spans="1:5" x14ac:dyDescent="0.25">
      <c r="A138" t="s">
        <v>538</v>
      </c>
      <c r="B138" t="s">
        <v>539</v>
      </c>
      <c r="C138">
        <v>120</v>
      </c>
      <c r="D138" t="s">
        <v>133</v>
      </c>
      <c r="E138" t="s">
        <v>540</v>
      </c>
    </row>
    <row r="139" spans="1:5" x14ac:dyDescent="0.25">
      <c r="A139" t="s">
        <v>541</v>
      </c>
      <c r="B139" t="s">
        <v>542</v>
      </c>
      <c r="C139">
        <v>120</v>
      </c>
      <c r="D139" t="s">
        <v>133</v>
      </c>
      <c r="E139" t="s">
        <v>543</v>
      </c>
    </row>
    <row r="140" spans="1:5" x14ac:dyDescent="0.25">
      <c r="A140" t="s">
        <v>544</v>
      </c>
      <c r="B140" t="s">
        <v>545</v>
      </c>
      <c r="C140">
        <v>120</v>
      </c>
      <c r="D140" t="s">
        <v>133</v>
      </c>
      <c r="E140" t="s">
        <v>546</v>
      </c>
    </row>
    <row r="141" spans="1:5" x14ac:dyDescent="0.25">
      <c r="A141" t="s">
        <v>547</v>
      </c>
      <c r="B141" t="s">
        <v>548</v>
      </c>
      <c r="C141">
        <v>120</v>
      </c>
      <c r="D141" t="s">
        <v>133</v>
      </c>
      <c r="E141" t="s">
        <v>549</v>
      </c>
    </row>
    <row r="142" spans="1:5" x14ac:dyDescent="0.25">
      <c r="A142" t="s">
        <v>550</v>
      </c>
      <c r="B142" t="s">
        <v>551</v>
      </c>
      <c r="C142">
        <v>120</v>
      </c>
      <c r="D142" t="s">
        <v>133</v>
      </c>
      <c r="E142" t="s">
        <v>552</v>
      </c>
    </row>
    <row r="143" spans="1:5" x14ac:dyDescent="0.25">
      <c r="A143" t="s">
        <v>553</v>
      </c>
      <c r="B143" t="s">
        <v>554</v>
      </c>
      <c r="C143">
        <v>120</v>
      </c>
      <c r="D143" t="s">
        <v>133</v>
      </c>
      <c r="E143" t="s">
        <v>555</v>
      </c>
    </row>
    <row r="144" spans="1:5" x14ac:dyDescent="0.25">
      <c r="A144" t="s">
        <v>556</v>
      </c>
      <c r="B144" t="s">
        <v>557</v>
      </c>
      <c r="C144">
        <v>120</v>
      </c>
      <c r="D144" t="s">
        <v>133</v>
      </c>
      <c r="E144" t="s">
        <v>558</v>
      </c>
    </row>
    <row r="145" spans="1:5" x14ac:dyDescent="0.25">
      <c r="A145" t="s">
        <v>559</v>
      </c>
      <c r="B145" t="s">
        <v>560</v>
      </c>
      <c r="C145">
        <v>120</v>
      </c>
      <c r="D145" t="s">
        <v>133</v>
      </c>
      <c r="E145" t="s">
        <v>561</v>
      </c>
    </row>
    <row r="146" spans="1:5" x14ac:dyDescent="0.25">
      <c r="A146" t="s">
        <v>562</v>
      </c>
      <c r="B146" t="s">
        <v>563</v>
      </c>
      <c r="C146">
        <v>120</v>
      </c>
      <c r="D146" t="s">
        <v>133</v>
      </c>
      <c r="E146" t="s">
        <v>564</v>
      </c>
    </row>
    <row r="147" spans="1:5" x14ac:dyDescent="0.25">
      <c r="A147" t="s">
        <v>565</v>
      </c>
      <c r="B147" t="s">
        <v>566</v>
      </c>
      <c r="C147">
        <v>120</v>
      </c>
      <c r="D147" t="s">
        <v>133</v>
      </c>
      <c r="E147" t="s">
        <v>567</v>
      </c>
    </row>
    <row r="148" spans="1:5" x14ac:dyDescent="0.25">
      <c r="A148" t="s">
        <v>568</v>
      </c>
      <c r="B148" t="s">
        <v>569</v>
      </c>
      <c r="C148">
        <v>120</v>
      </c>
      <c r="D148" t="s">
        <v>133</v>
      </c>
      <c r="E148" t="s">
        <v>570</v>
      </c>
    </row>
    <row r="149" spans="1:5" x14ac:dyDescent="0.25">
      <c r="A149" t="s">
        <v>571</v>
      </c>
      <c r="B149" t="s">
        <v>572</v>
      </c>
      <c r="C149">
        <v>120</v>
      </c>
      <c r="D149" t="s">
        <v>133</v>
      </c>
      <c r="E149" t="s">
        <v>573</v>
      </c>
    </row>
    <row r="150" spans="1:5" x14ac:dyDescent="0.25">
      <c r="A150" t="s">
        <v>574</v>
      </c>
      <c r="B150" t="s">
        <v>575</v>
      </c>
      <c r="C150">
        <v>120</v>
      </c>
      <c r="D150" t="s">
        <v>133</v>
      </c>
      <c r="E150" t="s">
        <v>576</v>
      </c>
    </row>
    <row r="151" spans="1:5" x14ac:dyDescent="0.25">
      <c r="A151" t="s">
        <v>577</v>
      </c>
      <c r="B151" t="s">
        <v>578</v>
      </c>
      <c r="C151">
        <v>120</v>
      </c>
      <c r="D151" t="s">
        <v>133</v>
      </c>
      <c r="E151" t="s">
        <v>579</v>
      </c>
    </row>
    <row r="152" spans="1:5" x14ac:dyDescent="0.25">
      <c r="A152" t="s">
        <v>580</v>
      </c>
      <c r="B152" t="s">
        <v>581</v>
      </c>
      <c r="C152">
        <v>120</v>
      </c>
      <c r="D152" t="s">
        <v>133</v>
      </c>
      <c r="E152" t="s">
        <v>582</v>
      </c>
    </row>
    <row r="153" spans="1:5" x14ac:dyDescent="0.25">
      <c r="A153" t="s">
        <v>583</v>
      </c>
      <c r="B153" t="s">
        <v>584</v>
      </c>
      <c r="C153">
        <v>120</v>
      </c>
      <c r="D153" t="s">
        <v>133</v>
      </c>
      <c r="E153" t="s">
        <v>585</v>
      </c>
    </row>
    <row r="154" spans="1:5" x14ac:dyDescent="0.25">
      <c r="A154" t="s">
        <v>586</v>
      </c>
      <c r="B154" t="s">
        <v>587</v>
      </c>
      <c r="C154">
        <v>120</v>
      </c>
      <c r="D154" t="s">
        <v>205</v>
      </c>
      <c r="E154" t="s">
        <v>588</v>
      </c>
    </row>
    <row r="155" spans="1:5" x14ac:dyDescent="0.25">
      <c r="A155" t="s">
        <v>589</v>
      </c>
      <c r="B155" t="s">
        <v>590</v>
      </c>
      <c r="C155">
        <v>120</v>
      </c>
      <c r="D155" t="s">
        <v>133</v>
      </c>
      <c r="E155" t="s">
        <v>591</v>
      </c>
    </row>
    <row r="156" spans="1:5" x14ac:dyDescent="0.25">
      <c r="A156" t="s">
        <v>592</v>
      </c>
      <c r="B156" t="s">
        <v>593</v>
      </c>
      <c r="C156">
        <v>120</v>
      </c>
      <c r="D156" t="s">
        <v>133</v>
      </c>
      <c r="E156" t="s">
        <v>594</v>
      </c>
    </row>
    <row r="157" spans="1:5" x14ac:dyDescent="0.25">
      <c r="A157" t="s">
        <v>595</v>
      </c>
      <c r="B157" t="s">
        <v>596</v>
      </c>
      <c r="C157">
        <v>120</v>
      </c>
      <c r="D157" t="s">
        <v>133</v>
      </c>
      <c r="E157" t="s">
        <v>597</v>
      </c>
    </row>
    <row r="158" spans="1:5" x14ac:dyDescent="0.25">
      <c r="A158" t="s">
        <v>598</v>
      </c>
      <c r="B158" t="s">
        <v>599</v>
      </c>
      <c r="C158">
        <v>120</v>
      </c>
      <c r="D158" t="s">
        <v>133</v>
      </c>
      <c r="E158" t="s">
        <v>600</v>
      </c>
    </row>
    <row r="159" spans="1:5" x14ac:dyDescent="0.25">
      <c r="A159" t="s">
        <v>601</v>
      </c>
      <c r="B159" t="s">
        <v>602</v>
      </c>
      <c r="C159">
        <v>120</v>
      </c>
      <c r="D159" t="s">
        <v>603</v>
      </c>
      <c r="E159" t="s">
        <v>604</v>
      </c>
    </row>
    <row r="160" spans="1:5" x14ac:dyDescent="0.25">
      <c r="A160" t="s">
        <v>605</v>
      </c>
      <c r="B160" t="s">
        <v>606</v>
      </c>
      <c r="C160">
        <v>120</v>
      </c>
      <c r="D160" t="s">
        <v>603</v>
      </c>
      <c r="E160" t="s">
        <v>181</v>
      </c>
    </row>
    <row r="161" spans="1:5" x14ac:dyDescent="0.25">
      <c r="A161" t="s">
        <v>607</v>
      </c>
      <c r="B161" t="s">
        <v>608</v>
      </c>
      <c r="C161">
        <v>120</v>
      </c>
      <c r="D161" t="s">
        <v>603</v>
      </c>
      <c r="E161" t="s">
        <v>609</v>
      </c>
    </row>
    <row r="162" spans="1:5" x14ac:dyDescent="0.25">
      <c r="A162" t="s">
        <v>610</v>
      </c>
      <c r="B162" t="s">
        <v>611</v>
      </c>
      <c r="C162">
        <v>120</v>
      </c>
      <c r="D162" t="s">
        <v>603</v>
      </c>
      <c r="E162" t="s">
        <v>612</v>
      </c>
    </row>
    <row r="163" spans="1:5" x14ac:dyDescent="0.25">
      <c r="A163" t="s">
        <v>613</v>
      </c>
      <c r="B163" t="s">
        <v>614</v>
      </c>
      <c r="C163">
        <v>120</v>
      </c>
      <c r="D163" t="s">
        <v>603</v>
      </c>
      <c r="E163" t="s">
        <v>615</v>
      </c>
    </row>
    <row r="164" spans="1:5" x14ac:dyDescent="0.25">
      <c r="A164" t="s">
        <v>616</v>
      </c>
      <c r="B164" t="s">
        <v>617</v>
      </c>
      <c r="C164">
        <v>120</v>
      </c>
      <c r="D164" t="s">
        <v>603</v>
      </c>
      <c r="E164" t="s">
        <v>618</v>
      </c>
    </row>
    <row r="165" spans="1:5" x14ac:dyDescent="0.25">
      <c r="A165" t="s">
        <v>619</v>
      </c>
      <c r="B165" t="s">
        <v>620</v>
      </c>
      <c r="C165">
        <v>120</v>
      </c>
      <c r="D165" t="s">
        <v>603</v>
      </c>
      <c r="E165" t="s">
        <v>621</v>
      </c>
    </row>
    <row r="166" spans="1:5" x14ac:dyDescent="0.25">
      <c r="A166" t="s">
        <v>622</v>
      </c>
      <c r="B166" t="s">
        <v>623</v>
      </c>
      <c r="C166">
        <v>120</v>
      </c>
      <c r="D166" t="s">
        <v>603</v>
      </c>
      <c r="E166" t="s">
        <v>624</v>
      </c>
    </row>
    <row r="167" spans="1:5" x14ac:dyDescent="0.25">
      <c r="A167" t="s">
        <v>625</v>
      </c>
      <c r="B167" t="s">
        <v>626</v>
      </c>
      <c r="C167">
        <v>120</v>
      </c>
      <c r="D167" t="s">
        <v>603</v>
      </c>
      <c r="E167" t="s">
        <v>627</v>
      </c>
    </row>
    <row r="168" spans="1:5" x14ac:dyDescent="0.25">
      <c r="A168" t="s">
        <v>628</v>
      </c>
      <c r="B168" t="s">
        <v>629</v>
      </c>
      <c r="C168">
        <v>120</v>
      </c>
      <c r="D168" t="s">
        <v>603</v>
      </c>
      <c r="E168" t="s">
        <v>630</v>
      </c>
    </row>
    <row r="169" spans="1:5" x14ac:dyDescent="0.25">
      <c r="A169" t="s">
        <v>631</v>
      </c>
      <c r="B169" t="s">
        <v>632</v>
      </c>
      <c r="C169">
        <v>120</v>
      </c>
      <c r="D169" t="s">
        <v>603</v>
      </c>
      <c r="E169" t="s">
        <v>633</v>
      </c>
    </row>
    <row r="170" spans="1:5" x14ac:dyDescent="0.25">
      <c r="A170" t="s">
        <v>634</v>
      </c>
      <c r="B170" t="s">
        <v>635</v>
      </c>
      <c r="C170">
        <v>120</v>
      </c>
      <c r="D170" t="s">
        <v>603</v>
      </c>
      <c r="E170" t="s">
        <v>636</v>
      </c>
    </row>
    <row r="171" spans="1:5" x14ac:dyDescent="0.25">
      <c r="A171" t="s">
        <v>637</v>
      </c>
      <c r="B171" t="s">
        <v>638</v>
      </c>
      <c r="C171">
        <v>120</v>
      </c>
      <c r="D171" t="s">
        <v>603</v>
      </c>
      <c r="E171" t="s">
        <v>522</v>
      </c>
    </row>
    <row r="172" spans="1:5" x14ac:dyDescent="0.25">
      <c r="A172" t="s">
        <v>639</v>
      </c>
      <c r="B172" t="s">
        <v>640</v>
      </c>
      <c r="C172">
        <v>120</v>
      </c>
      <c r="D172" t="s">
        <v>603</v>
      </c>
      <c r="E172" t="s">
        <v>641</v>
      </c>
    </row>
    <row r="173" spans="1:5" x14ac:dyDescent="0.25">
      <c r="A173" t="s">
        <v>642</v>
      </c>
      <c r="B173" t="s">
        <v>643</v>
      </c>
      <c r="C173">
        <v>120</v>
      </c>
      <c r="D173" t="s">
        <v>603</v>
      </c>
      <c r="E173" t="s">
        <v>644</v>
      </c>
    </row>
    <row r="174" spans="1:5" x14ac:dyDescent="0.25">
      <c r="A174" t="s">
        <v>645</v>
      </c>
      <c r="B174" t="s">
        <v>646</v>
      </c>
      <c r="C174">
        <v>120</v>
      </c>
      <c r="D174" t="s">
        <v>603</v>
      </c>
      <c r="E174" t="s">
        <v>647</v>
      </c>
    </row>
    <row r="175" spans="1:5" x14ac:dyDescent="0.25">
      <c r="A175" t="s">
        <v>648</v>
      </c>
      <c r="B175" t="s">
        <v>649</v>
      </c>
      <c r="C175">
        <v>120</v>
      </c>
      <c r="D175" t="s">
        <v>603</v>
      </c>
      <c r="E175" t="s">
        <v>650</v>
      </c>
    </row>
    <row r="176" spans="1:5" x14ac:dyDescent="0.25">
      <c r="A176" t="s">
        <v>648</v>
      </c>
      <c r="B176" t="s">
        <v>649</v>
      </c>
      <c r="C176">
        <v>120</v>
      </c>
      <c r="D176" t="s">
        <v>603</v>
      </c>
      <c r="E176" t="s">
        <v>650</v>
      </c>
    </row>
    <row r="177" spans="1:5" x14ac:dyDescent="0.25">
      <c r="A177" t="s">
        <v>651</v>
      </c>
      <c r="B177" t="s">
        <v>652</v>
      </c>
      <c r="C177">
        <v>120</v>
      </c>
      <c r="D177" t="s">
        <v>603</v>
      </c>
      <c r="E177" t="s">
        <v>653</v>
      </c>
    </row>
    <row r="178" spans="1:5" x14ac:dyDescent="0.25">
      <c r="A178" t="s">
        <v>654</v>
      </c>
      <c r="B178" t="s">
        <v>655</v>
      </c>
      <c r="C178">
        <v>120</v>
      </c>
      <c r="D178" t="s">
        <v>603</v>
      </c>
      <c r="E178" t="s">
        <v>656</v>
      </c>
    </row>
    <row r="179" spans="1:5" x14ac:dyDescent="0.25">
      <c r="A179" t="s">
        <v>657</v>
      </c>
      <c r="B179" t="s">
        <v>658</v>
      </c>
      <c r="C179">
        <v>120</v>
      </c>
      <c r="D179" t="s">
        <v>603</v>
      </c>
      <c r="E179" t="s">
        <v>659</v>
      </c>
    </row>
    <row r="180" spans="1:5" x14ac:dyDescent="0.25">
      <c r="A180" t="s">
        <v>660</v>
      </c>
      <c r="B180" t="s">
        <v>661</v>
      </c>
      <c r="C180">
        <v>120</v>
      </c>
      <c r="D180" t="s">
        <v>603</v>
      </c>
      <c r="E180" t="s">
        <v>662</v>
      </c>
    </row>
    <row r="181" spans="1:5" x14ac:dyDescent="0.25">
      <c r="A181" t="s">
        <v>663</v>
      </c>
      <c r="B181" t="s">
        <v>664</v>
      </c>
      <c r="C181">
        <v>120</v>
      </c>
      <c r="D181" t="s">
        <v>603</v>
      </c>
      <c r="E181" t="s">
        <v>665</v>
      </c>
    </row>
    <row r="182" spans="1:5" x14ac:dyDescent="0.25">
      <c r="A182" t="s">
        <v>666</v>
      </c>
      <c r="B182" t="s">
        <v>667</v>
      </c>
      <c r="C182">
        <v>120</v>
      </c>
      <c r="D182" t="s">
        <v>133</v>
      </c>
      <c r="E182" t="s">
        <v>668</v>
      </c>
    </row>
    <row r="183" spans="1:5" x14ac:dyDescent="0.25">
      <c r="A183" t="s">
        <v>669</v>
      </c>
      <c r="B183" t="s">
        <v>670</v>
      </c>
      <c r="C183">
        <v>120</v>
      </c>
      <c r="D183" t="s">
        <v>140</v>
      </c>
      <c r="E183" t="s">
        <v>671</v>
      </c>
    </row>
    <row r="184" spans="1:5" x14ac:dyDescent="0.25">
      <c r="A184" t="s">
        <v>672</v>
      </c>
      <c r="B184" t="s">
        <v>673</v>
      </c>
      <c r="C184">
        <v>120</v>
      </c>
      <c r="D184" t="s">
        <v>133</v>
      </c>
      <c r="E184" t="s">
        <v>674</v>
      </c>
    </row>
    <row r="185" spans="1:5" x14ac:dyDescent="0.25">
      <c r="A185" t="s">
        <v>675</v>
      </c>
      <c r="B185" t="s">
        <v>676</v>
      </c>
      <c r="C185">
        <v>120</v>
      </c>
      <c r="D185" t="s">
        <v>133</v>
      </c>
      <c r="E185" t="s">
        <v>677</v>
      </c>
    </row>
    <row r="186" spans="1:5" x14ac:dyDescent="0.25">
      <c r="A186" t="s">
        <v>678</v>
      </c>
      <c r="B186" t="s">
        <v>679</v>
      </c>
      <c r="C186">
        <v>120</v>
      </c>
      <c r="D186" t="s">
        <v>133</v>
      </c>
      <c r="E186" t="s">
        <v>680</v>
      </c>
    </row>
    <row r="187" spans="1:5" x14ac:dyDescent="0.25">
      <c r="A187" t="s">
        <v>681</v>
      </c>
      <c r="B187" t="s">
        <v>682</v>
      </c>
      <c r="C187">
        <v>120</v>
      </c>
      <c r="D187" t="s">
        <v>133</v>
      </c>
      <c r="E187" t="s">
        <v>683</v>
      </c>
    </row>
    <row r="188" spans="1:5" x14ac:dyDescent="0.25">
      <c r="A188" t="s">
        <v>684</v>
      </c>
      <c r="B188" t="s">
        <v>685</v>
      </c>
      <c r="C188">
        <v>120</v>
      </c>
      <c r="D188" t="s">
        <v>133</v>
      </c>
      <c r="E188" t="s">
        <v>686</v>
      </c>
    </row>
    <row r="189" spans="1:5" x14ac:dyDescent="0.25">
      <c r="A189" t="s">
        <v>687</v>
      </c>
      <c r="B189" t="s">
        <v>688</v>
      </c>
      <c r="C189">
        <v>120</v>
      </c>
      <c r="D189" t="s">
        <v>133</v>
      </c>
      <c r="E189" t="s">
        <v>689</v>
      </c>
    </row>
    <row r="190" spans="1:5" x14ac:dyDescent="0.25">
      <c r="A190" t="s">
        <v>690</v>
      </c>
      <c r="B190" t="s">
        <v>691</v>
      </c>
      <c r="C190">
        <v>120</v>
      </c>
      <c r="D190" t="s">
        <v>133</v>
      </c>
      <c r="E190" t="s">
        <v>692</v>
      </c>
    </row>
    <row r="191" spans="1:5" x14ac:dyDescent="0.25">
      <c r="A191" t="s">
        <v>693</v>
      </c>
      <c r="B191" t="s">
        <v>694</v>
      </c>
      <c r="C191">
        <v>120</v>
      </c>
      <c r="D191" t="s">
        <v>133</v>
      </c>
      <c r="E191" t="s">
        <v>695</v>
      </c>
    </row>
    <row r="192" spans="1:5" x14ac:dyDescent="0.25">
      <c r="A192" t="s">
        <v>696</v>
      </c>
      <c r="B192" t="s">
        <v>697</v>
      </c>
      <c r="C192">
        <v>120</v>
      </c>
      <c r="D192" t="s">
        <v>133</v>
      </c>
      <c r="E192" t="s">
        <v>698</v>
      </c>
    </row>
    <row r="193" spans="1:5" x14ac:dyDescent="0.25">
      <c r="A193" t="s">
        <v>699</v>
      </c>
      <c r="B193" t="s">
        <v>700</v>
      </c>
      <c r="C193">
        <v>120</v>
      </c>
      <c r="D193" t="s">
        <v>133</v>
      </c>
      <c r="E193" t="s">
        <v>701</v>
      </c>
    </row>
    <row r="194" spans="1:5" x14ac:dyDescent="0.25">
      <c r="A194" t="s">
        <v>702</v>
      </c>
      <c r="B194" t="s">
        <v>703</v>
      </c>
      <c r="C194">
        <v>120</v>
      </c>
      <c r="D194" t="s">
        <v>133</v>
      </c>
      <c r="E194" t="s">
        <v>704</v>
      </c>
    </row>
    <row r="195" spans="1:5" x14ac:dyDescent="0.25">
      <c r="A195" t="s">
        <v>705</v>
      </c>
      <c r="B195" t="s">
        <v>706</v>
      </c>
      <c r="C195">
        <v>120</v>
      </c>
      <c r="D195" t="s">
        <v>133</v>
      </c>
      <c r="E195" t="s">
        <v>707</v>
      </c>
    </row>
    <row r="196" spans="1:5" x14ac:dyDescent="0.25">
      <c r="A196" t="s">
        <v>708</v>
      </c>
      <c r="B196" t="s">
        <v>709</v>
      </c>
      <c r="C196">
        <v>120</v>
      </c>
      <c r="D196" t="s">
        <v>133</v>
      </c>
      <c r="E196" t="s">
        <v>710</v>
      </c>
    </row>
    <row r="197" spans="1:5" x14ac:dyDescent="0.25">
      <c r="A197" t="s">
        <v>711</v>
      </c>
      <c r="B197" t="s">
        <v>712</v>
      </c>
      <c r="C197">
        <v>120</v>
      </c>
      <c r="D197" t="s">
        <v>133</v>
      </c>
      <c r="E197" t="s">
        <v>713</v>
      </c>
    </row>
    <row r="198" spans="1:5" x14ac:dyDescent="0.25">
      <c r="A198" t="s">
        <v>714</v>
      </c>
      <c r="B198" t="s">
        <v>715</v>
      </c>
      <c r="C198">
        <v>120</v>
      </c>
      <c r="D198" t="s">
        <v>133</v>
      </c>
      <c r="E198" t="s">
        <v>716</v>
      </c>
    </row>
    <row r="199" spans="1:5" x14ac:dyDescent="0.25">
      <c r="A199" t="s">
        <v>717</v>
      </c>
      <c r="B199" t="s">
        <v>718</v>
      </c>
      <c r="C199">
        <v>120</v>
      </c>
      <c r="D199" t="s">
        <v>140</v>
      </c>
      <c r="E199" t="s">
        <v>719</v>
      </c>
    </row>
    <row r="200" spans="1:5" x14ac:dyDescent="0.25">
      <c r="A200" t="s">
        <v>720</v>
      </c>
      <c r="B200" t="s">
        <v>721</v>
      </c>
      <c r="C200">
        <v>120</v>
      </c>
      <c r="D200" t="s">
        <v>133</v>
      </c>
      <c r="E200" t="s">
        <v>722</v>
      </c>
    </row>
    <row r="201" spans="1:5" x14ac:dyDescent="0.25">
      <c r="A201" t="s">
        <v>723</v>
      </c>
      <c r="B201" t="s">
        <v>724</v>
      </c>
      <c r="C201">
        <v>120</v>
      </c>
      <c r="D201" t="s">
        <v>133</v>
      </c>
      <c r="E201" t="s">
        <v>725</v>
      </c>
    </row>
    <row r="202" spans="1:5" x14ac:dyDescent="0.25">
      <c r="A202" t="s">
        <v>726</v>
      </c>
      <c r="B202" t="s">
        <v>727</v>
      </c>
      <c r="C202">
        <v>120</v>
      </c>
      <c r="D202" t="s">
        <v>133</v>
      </c>
      <c r="E202" t="s">
        <v>728</v>
      </c>
    </row>
    <row r="203" spans="1:5" x14ac:dyDescent="0.25">
      <c r="A203" t="s">
        <v>729</v>
      </c>
      <c r="B203" t="s">
        <v>730</v>
      </c>
      <c r="C203">
        <v>120</v>
      </c>
      <c r="D203" t="s">
        <v>133</v>
      </c>
      <c r="E203" t="s">
        <v>731</v>
      </c>
    </row>
    <row r="204" spans="1:5" x14ac:dyDescent="0.25">
      <c r="A204" t="s">
        <v>732</v>
      </c>
      <c r="B204" t="s">
        <v>733</v>
      </c>
      <c r="C204">
        <v>120</v>
      </c>
      <c r="D204" t="s">
        <v>133</v>
      </c>
      <c r="E204" t="s">
        <v>734</v>
      </c>
    </row>
    <row r="205" spans="1:5" x14ac:dyDescent="0.25">
      <c r="A205" t="s">
        <v>735</v>
      </c>
      <c r="B205" t="s">
        <v>736</v>
      </c>
      <c r="C205">
        <v>120</v>
      </c>
      <c r="D205" t="s">
        <v>133</v>
      </c>
      <c r="E205" t="s">
        <v>737</v>
      </c>
    </row>
    <row r="206" spans="1:5" x14ac:dyDescent="0.25">
      <c r="A206" t="s">
        <v>738</v>
      </c>
      <c r="B206" t="s">
        <v>739</v>
      </c>
      <c r="C206">
        <v>120</v>
      </c>
      <c r="D206" t="s">
        <v>133</v>
      </c>
      <c r="E206" t="s">
        <v>740</v>
      </c>
    </row>
    <row r="207" spans="1:5" x14ac:dyDescent="0.25">
      <c r="A207" t="s">
        <v>741</v>
      </c>
      <c r="B207" t="s">
        <v>742</v>
      </c>
      <c r="C207">
        <v>120</v>
      </c>
      <c r="D207" t="s">
        <v>133</v>
      </c>
      <c r="E207" t="s">
        <v>743</v>
      </c>
    </row>
    <row r="208" spans="1:5" x14ac:dyDescent="0.25">
      <c r="A208" t="s">
        <v>744</v>
      </c>
      <c r="B208" t="s">
        <v>745</v>
      </c>
      <c r="C208">
        <v>120</v>
      </c>
      <c r="D208" t="s">
        <v>133</v>
      </c>
      <c r="E208" t="s">
        <v>746</v>
      </c>
    </row>
    <row r="209" spans="1:5" x14ac:dyDescent="0.25">
      <c r="A209" t="s">
        <v>747</v>
      </c>
      <c r="B209" t="s">
        <v>748</v>
      </c>
      <c r="C209">
        <v>120</v>
      </c>
      <c r="D209" t="s">
        <v>133</v>
      </c>
      <c r="E209" t="s">
        <v>749</v>
      </c>
    </row>
    <row r="210" spans="1:5" x14ac:dyDescent="0.25">
      <c r="A210" t="s">
        <v>750</v>
      </c>
      <c r="B210" t="s">
        <v>751</v>
      </c>
      <c r="C210">
        <v>120</v>
      </c>
      <c r="D210" t="s">
        <v>133</v>
      </c>
      <c r="E210" t="s">
        <v>752</v>
      </c>
    </row>
    <row r="211" spans="1:5" x14ac:dyDescent="0.25">
      <c r="A211" t="s">
        <v>753</v>
      </c>
      <c r="B211" t="s">
        <v>754</v>
      </c>
      <c r="C211">
        <v>120</v>
      </c>
      <c r="D211" t="s">
        <v>133</v>
      </c>
      <c r="E211" t="s">
        <v>755</v>
      </c>
    </row>
    <row r="212" spans="1:5" x14ac:dyDescent="0.25">
      <c r="A212" t="s">
        <v>756</v>
      </c>
      <c r="B212" t="s">
        <v>757</v>
      </c>
      <c r="C212">
        <v>120</v>
      </c>
      <c r="D212" t="s">
        <v>133</v>
      </c>
      <c r="E212" t="s">
        <v>758</v>
      </c>
    </row>
    <row r="213" spans="1:5" x14ac:dyDescent="0.25">
      <c r="A213" t="s">
        <v>759</v>
      </c>
      <c r="B213" t="s">
        <v>760</v>
      </c>
      <c r="C213">
        <v>120</v>
      </c>
      <c r="D213" t="s">
        <v>133</v>
      </c>
      <c r="E213" t="s">
        <v>761</v>
      </c>
    </row>
    <row r="214" spans="1:5" x14ac:dyDescent="0.25">
      <c r="A214" t="s">
        <v>762</v>
      </c>
      <c r="B214" t="s">
        <v>763</v>
      </c>
      <c r="C214">
        <v>120</v>
      </c>
      <c r="D214" t="s">
        <v>133</v>
      </c>
      <c r="E214" t="s">
        <v>764</v>
      </c>
    </row>
    <row r="215" spans="1:5" x14ac:dyDescent="0.25">
      <c r="A215" t="s">
        <v>765</v>
      </c>
      <c r="B215" t="s">
        <v>766</v>
      </c>
      <c r="C215">
        <v>120</v>
      </c>
      <c r="D215" t="s">
        <v>133</v>
      </c>
      <c r="E215" t="s">
        <v>767</v>
      </c>
    </row>
    <row r="216" spans="1:5" x14ac:dyDescent="0.25">
      <c r="A216" t="s">
        <v>768</v>
      </c>
      <c r="B216" t="s">
        <v>769</v>
      </c>
      <c r="C216">
        <v>120</v>
      </c>
      <c r="D216" t="s">
        <v>133</v>
      </c>
      <c r="E216" t="s">
        <v>770</v>
      </c>
    </row>
    <row r="217" spans="1:5" x14ac:dyDescent="0.25">
      <c r="A217" t="s">
        <v>771</v>
      </c>
      <c r="B217" t="s">
        <v>772</v>
      </c>
      <c r="C217">
        <v>120</v>
      </c>
      <c r="D217" t="s">
        <v>133</v>
      </c>
      <c r="E217" t="s">
        <v>773</v>
      </c>
    </row>
    <row r="218" spans="1:5" x14ac:dyDescent="0.25">
      <c r="A218" t="s">
        <v>774</v>
      </c>
      <c r="B218" t="s">
        <v>775</v>
      </c>
      <c r="C218">
        <v>120</v>
      </c>
      <c r="D218" t="s">
        <v>133</v>
      </c>
      <c r="E218" t="s">
        <v>776</v>
      </c>
    </row>
    <row r="219" spans="1:5" x14ac:dyDescent="0.25">
      <c r="A219" t="s">
        <v>777</v>
      </c>
      <c r="B219" t="s">
        <v>778</v>
      </c>
      <c r="C219">
        <v>120</v>
      </c>
      <c r="D219" t="s">
        <v>133</v>
      </c>
      <c r="E219" t="s">
        <v>779</v>
      </c>
    </row>
    <row r="220" spans="1:5" x14ac:dyDescent="0.25">
      <c r="A220" t="s">
        <v>780</v>
      </c>
      <c r="B220" t="s">
        <v>781</v>
      </c>
      <c r="C220">
        <v>120</v>
      </c>
      <c r="D220" t="s">
        <v>133</v>
      </c>
      <c r="E220" t="s">
        <v>782</v>
      </c>
    </row>
    <row r="221" spans="1:5" x14ac:dyDescent="0.25">
      <c r="A221" t="s">
        <v>783</v>
      </c>
      <c r="B221" t="s">
        <v>784</v>
      </c>
      <c r="C221">
        <v>120</v>
      </c>
      <c r="D221" t="s">
        <v>133</v>
      </c>
      <c r="E221" t="s">
        <v>785</v>
      </c>
    </row>
    <row r="222" spans="1:5" x14ac:dyDescent="0.25">
      <c r="A222" t="s">
        <v>786</v>
      </c>
      <c r="B222" t="s">
        <v>787</v>
      </c>
      <c r="C222">
        <v>120</v>
      </c>
      <c r="D222" t="s">
        <v>133</v>
      </c>
      <c r="E222" t="s">
        <v>788</v>
      </c>
    </row>
    <row r="223" spans="1:5" x14ac:dyDescent="0.25">
      <c r="A223" t="s">
        <v>789</v>
      </c>
      <c r="B223" t="s">
        <v>790</v>
      </c>
      <c r="C223">
        <v>120</v>
      </c>
      <c r="D223" t="s">
        <v>133</v>
      </c>
      <c r="E223" t="s">
        <v>791</v>
      </c>
    </row>
    <row r="224" spans="1:5" x14ac:dyDescent="0.25">
      <c r="A224" t="s">
        <v>792</v>
      </c>
      <c r="B224" t="s">
        <v>793</v>
      </c>
      <c r="C224">
        <v>120</v>
      </c>
      <c r="D224" t="s">
        <v>133</v>
      </c>
      <c r="E224" t="s">
        <v>794</v>
      </c>
    </row>
    <row r="225" spans="1:5" x14ac:dyDescent="0.25">
      <c r="A225" t="s">
        <v>795</v>
      </c>
      <c r="B225" t="s">
        <v>796</v>
      </c>
      <c r="C225">
        <v>120</v>
      </c>
      <c r="D225" t="s">
        <v>133</v>
      </c>
      <c r="E225" t="s">
        <v>797</v>
      </c>
    </row>
    <row r="226" spans="1:5" x14ac:dyDescent="0.25">
      <c r="A226" t="s">
        <v>798</v>
      </c>
      <c r="B226" t="s">
        <v>799</v>
      </c>
      <c r="C226">
        <v>120</v>
      </c>
      <c r="D226" t="s">
        <v>133</v>
      </c>
      <c r="E226" t="s">
        <v>800</v>
      </c>
    </row>
    <row r="227" spans="1:5" x14ac:dyDescent="0.25">
      <c r="A227" t="s">
        <v>801</v>
      </c>
      <c r="B227" t="s">
        <v>802</v>
      </c>
      <c r="C227">
        <v>120</v>
      </c>
      <c r="D227" t="s">
        <v>133</v>
      </c>
      <c r="E227" t="s">
        <v>803</v>
      </c>
    </row>
    <row r="228" spans="1:5" x14ac:dyDescent="0.25">
      <c r="A228" t="s">
        <v>804</v>
      </c>
      <c r="B228" t="s">
        <v>805</v>
      </c>
      <c r="C228">
        <v>120</v>
      </c>
      <c r="D228" t="s">
        <v>133</v>
      </c>
      <c r="E228" t="s">
        <v>806</v>
      </c>
    </row>
    <row r="229" spans="1:5" x14ac:dyDescent="0.25">
      <c r="A229" t="s">
        <v>807</v>
      </c>
      <c r="B229" t="s">
        <v>808</v>
      </c>
      <c r="C229">
        <v>120</v>
      </c>
      <c r="D229" t="s">
        <v>133</v>
      </c>
      <c r="E229" t="s">
        <v>809</v>
      </c>
    </row>
    <row r="230" spans="1:5" x14ac:dyDescent="0.25">
      <c r="A230" t="s">
        <v>810</v>
      </c>
      <c r="B230" t="s">
        <v>811</v>
      </c>
      <c r="C230">
        <v>120</v>
      </c>
      <c r="D230" t="s">
        <v>133</v>
      </c>
      <c r="E230" t="s">
        <v>812</v>
      </c>
    </row>
    <row r="231" spans="1:5" x14ac:dyDescent="0.25">
      <c r="A231" t="s">
        <v>813</v>
      </c>
      <c r="B231" t="s">
        <v>814</v>
      </c>
      <c r="C231">
        <v>120</v>
      </c>
      <c r="D231" t="s">
        <v>140</v>
      </c>
      <c r="E231" t="s">
        <v>815</v>
      </c>
    </row>
    <row r="232" spans="1:5" x14ac:dyDescent="0.25">
      <c r="A232" t="s">
        <v>816</v>
      </c>
      <c r="B232" t="s">
        <v>817</v>
      </c>
      <c r="C232">
        <v>140</v>
      </c>
      <c r="D232" t="s">
        <v>818</v>
      </c>
      <c r="E232" t="s">
        <v>819</v>
      </c>
    </row>
    <row r="233" spans="1:5" x14ac:dyDescent="0.25">
      <c r="A233" t="s">
        <v>820</v>
      </c>
      <c r="B233" t="s">
        <v>821</v>
      </c>
      <c r="C233">
        <v>200</v>
      </c>
      <c r="D233" t="s">
        <v>818</v>
      </c>
      <c r="E233" t="s">
        <v>822</v>
      </c>
    </row>
    <row r="234" spans="1:5" x14ac:dyDescent="0.25">
      <c r="A234" t="s">
        <v>823</v>
      </c>
      <c r="B234" t="s">
        <v>824</v>
      </c>
      <c r="C234">
        <v>250</v>
      </c>
      <c r="D234" t="s">
        <v>825</v>
      </c>
      <c r="E234" t="s">
        <v>826</v>
      </c>
    </row>
    <row r="235" spans="1:5" x14ac:dyDescent="0.25">
      <c r="A235" t="s">
        <v>827</v>
      </c>
      <c r="B235" t="s">
        <v>828</v>
      </c>
      <c r="C235">
        <v>250</v>
      </c>
      <c r="D235" t="s">
        <v>825</v>
      </c>
      <c r="E235" t="s">
        <v>829</v>
      </c>
    </row>
    <row r="236" spans="1:5" x14ac:dyDescent="0.25">
      <c r="A236" t="s">
        <v>830</v>
      </c>
      <c r="B236" t="s">
        <v>831</v>
      </c>
      <c r="C236">
        <v>250</v>
      </c>
      <c r="D236" t="s">
        <v>825</v>
      </c>
      <c r="E236" t="s">
        <v>832</v>
      </c>
    </row>
    <row r="237" spans="1:5" x14ac:dyDescent="0.25">
      <c r="A237" t="s">
        <v>833</v>
      </c>
      <c r="B237" t="s">
        <v>834</v>
      </c>
      <c r="C237">
        <v>250</v>
      </c>
      <c r="D237" t="s">
        <v>825</v>
      </c>
      <c r="E237" t="s">
        <v>835</v>
      </c>
    </row>
    <row r="238" spans="1:5" x14ac:dyDescent="0.25">
      <c r="A238" t="s">
        <v>836</v>
      </c>
      <c r="B238" t="s">
        <v>837</v>
      </c>
      <c r="C238">
        <v>250</v>
      </c>
      <c r="D238" t="s">
        <v>825</v>
      </c>
      <c r="E238" t="s">
        <v>838</v>
      </c>
    </row>
    <row r="239" spans="1:5" x14ac:dyDescent="0.25">
      <c r="A239" t="s">
        <v>839</v>
      </c>
      <c r="B239" t="s">
        <v>840</v>
      </c>
      <c r="C239">
        <v>250</v>
      </c>
      <c r="D239" t="s">
        <v>841</v>
      </c>
      <c r="E239" t="s">
        <v>842</v>
      </c>
    </row>
    <row r="240" spans="1:5" x14ac:dyDescent="0.25">
      <c r="A240" t="s">
        <v>843</v>
      </c>
      <c r="B240" t="s">
        <v>844</v>
      </c>
      <c r="C240">
        <v>250</v>
      </c>
      <c r="D240" t="s">
        <v>841</v>
      </c>
      <c r="E240" t="s">
        <v>845</v>
      </c>
    </row>
    <row r="241" spans="1:5" x14ac:dyDescent="0.25">
      <c r="A241" t="s">
        <v>846</v>
      </c>
      <c r="B241" t="s">
        <v>847</v>
      </c>
      <c r="C241">
        <v>250</v>
      </c>
      <c r="D241" t="s">
        <v>825</v>
      </c>
      <c r="E241" t="s">
        <v>848</v>
      </c>
    </row>
    <row r="242" spans="1:5" x14ac:dyDescent="0.25">
      <c r="A242" t="s">
        <v>849</v>
      </c>
      <c r="B242" t="s">
        <v>850</v>
      </c>
      <c r="C242">
        <v>250</v>
      </c>
      <c r="D242" t="s">
        <v>825</v>
      </c>
      <c r="E242" t="s">
        <v>851</v>
      </c>
    </row>
    <row r="243" spans="1:5" x14ac:dyDescent="0.25">
      <c r="A243" t="s">
        <v>852</v>
      </c>
      <c r="B243" t="s">
        <v>853</v>
      </c>
      <c r="C243">
        <v>250</v>
      </c>
      <c r="D243" t="s">
        <v>825</v>
      </c>
      <c r="E243" t="s">
        <v>854</v>
      </c>
    </row>
    <row r="244" spans="1:5" x14ac:dyDescent="0.25">
      <c r="A244" t="s">
        <v>855</v>
      </c>
      <c r="B244" t="s">
        <v>856</v>
      </c>
      <c r="C244">
        <v>250</v>
      </c>
      <c r="D244" t="s">
        <v>825</v>
      </c>
      <c r="E244" t="s">
        <v>453</v>
      </c>
    </row>
    <row r="245" spans="1:5" x14ac:dyDescent="0.25">
      <c r="A245" t="s">
        <v>857</v>
      </c>
      <c r="B245" t="s">
        <v>858</v>
      </c>
      <c r="C245">
        <v>250</v>
      </c>
      <c r="D245" t="s">
        <v>825</v>
      </c>
      <c r="E245" t="s">
        <v>462</v>
      </c>
    </row>
    <row r="246" spans="1:5" x14ac:dyDescent="0.25">
      <c r="A246" t="s">
        <v>859</v>
      </c>
      <c r="B246" t="s">
        <v>860</v>
      </c>
      <c r="C246">
        <v>250</v>
      </c>
      <c r="D246" t="s">
        <v>825</v>
      </c>
      <c r="E246" t="s">
        <v>861</v>
      </c>
    </row>
    <row r="247" spans="1:5" x14ac:dyDescent="0.25">
      <c r="A247" t="s">
        <v>862</v>
      </c>
      <c r="B247" t="s">
        <v>863</v>
      </c>
      <c r="C247">
        <v>250</v>
      </c>
      <c r="D247" t="s">
        <v>825</v>
      </c>
      <c r="E247" t="s">
        <v>864</v>
      </c>
    </row>
    <row r="248" spans="1:5" x14ac:dyDescent="0.25">
      <c r="A248" t="s">
        <v>865</v>
      </c>
      <c r="B248" t="s">
        <v>866</v>
      </c>
      <c r="C248">
        <v>250</v>
      </c>
      <c r="D248" t="s">
        <v>825</v>
      </c>
      <c r="E248" t="s">
        <v>867</v>
      </c>
    </row>
    <row r="249" spans="1:5" x14ac:dyDescent="0.25">
      <c r="A249" t="s">
        <v>868</v>
      </c>
      <c r="B249" t="s">
        <v>869</v>
      </c>
      <c r="C249">
        <v>250</v>
      </c>
      <c r="D249" t="s">
        <v>825</v>
      </c>
      <c r="E249" t="s">
        <v>870</v>
      </c>
    </row>
    <row r="250" spans="1:5" x14ac:dyDescent="0.25">
      <c r="A250" t="s">
        <v>871</v>
      </c>
      <c r="B250" t="s">
        <v>872</v>
      </c>
      <c r="C250">
        <v>250</v>
      </c>
      <c r="D250" t="s">
        <v>825</v>
      </c>
      <c r="E250" t="s">
        <v>873</v>
      </c>
    </row>
    <row r="251" spans="1:5" x14ac:dyDescent="0.25">
      <c r="A251" t="s">
        <v>874</v>
      </c>
      <c r="B251" t="s">
        <v>875</v>
      </c>
      <c r="C251">
        <v>250</v>
      </c>
      <c r="D251" t="s">
        <v>876</v>
      </c>
      <c r="E251" t="s">
        <v>826</v>
      </c>
    </row>
    <row r="252" spans="1:5" x14ac:dyDescent="0.25">
      <c r="A252" t="s">
        <v>877</v>
      </c>
      <c r="B252" t="s">
        <v>878</v>
      </c>
      <c r="C252">
        <v>250</v>
      </c>
      <c r="E252" t="s">
        <v>879</v>
      </c>
    </row>
    <row r="253" spans="1:5" x14ac:dyDescent="0.25">
      <c r="A253" t="s">
        <v>880</v>
      </c>
      <c r="B253" t="s">
        <v>881</v>
      </c>
      <c r="C253">
        <v>250</v>
      </c>
      <c r="D253" t="s">
        <v>876</v>
      </c>
      <c r="E253" t="s">
        <v>835</v>
      </c>
    </row>
    <row r="254" spans="1:5" x14ac:dyDescent="0.25">
      <c r="A254" t="s">
        <v>882</v>
      </c>
      <c r="B254" t="s">
        <v>883</v>
      </c>
      <c r="C254">
        <v>250</v>
      </c>
      <c r="E254" t="s">
        <v>884</v>
      </c>
    </row>
    <row r="255" spans="1:5" x14ac:dyDescent="0.25">
      <c r="A255" t="s">
        <v>885</v>
      </c>
      <c r="B255" t="s">
        <v>886</v>
      </c>
      <c r="C255">
        <v>250</v>
      </c>
      <c r="D255" t="s">
        <v>876</v>
      </c>
      <c r="E255" t="s">
        <v>887</v>
      </c>
    </row>
    <row r="256" spans="1:5" x14ac:dyDescent="0.25">
      <c r="A256" t="s">
        <v>888</v>
      </c>
      <c r="B256" t="s">
        <v>886</v>
      </c>
      <c r="C256">
        <v>250</v>
      </c>
      <c r="D256" t="s">
        <v>889</v>
      </c>
      <c r="E256" t="s">
        <v>887</v>
      </c>
    </row>
    <row r="257" spans="1:5" x14ac:dyDescent="0.25">
      <c r="A257" t="s">
        <v>890</v>
      </c>
      <c r="B257" t="s">
        <v>891</v>
      </c>
      <c r="C257">
        <v>250</v>
      </c>
      <c r="D257" t="s">
        <v>889</v>
      </c>
      <c r="E257" t="s">
        <v>241</v>
      </c>
    </row>
    <row r="258" spans="1:5" x14ac:dyDescent="0.25">
      <c r="A258" t="s">
        <v>892</v>
      </c>
      <c r="B258" t="s">
        <v>891</v>
      </c>
      <c r="C258">
        <v>250</v>
      </c>
      <c r="D258" t="s">
        <v>893</v>
      </c>
      <c r="E258" t="s">
        <v>241</v>
      </c>
    </row>
    <row r="259" spans="1:5" x14ac:dyDescent="0.25">
      <c r="A259" t="s">
        <v>894</v>
      </c>
      <c r="B259" t="s">
        <v>895</v>
      </c>
      <c r="C259">
        <v>250</v>
      </c>
      <c r="D259" t="s">
        <v>876</v>
      </c>
      <c r="E259" t="s">
        <v>848</v>
      </c>
    </row>
    <row r="260" spans="1:5" x14ac:dyDescent="0.25">
      <c r="A260" t="s">
        <v>896</v>
      </c>
      <c r="B260" t="s">
        <v>897</v>
      </c>
      <c r="C260">
        <v>250</v>
      </c>
      <c r="D260" t="s">
        <v>876</v>
      </c>
      <c r="E260" t="s">
        <v>898</v>
      </c>
    </row>
    <row r="261" spans="1:5" x14ac:dyDescent="0.25">
      <c r="A261" t="s">
        <v>899</v>
      </c>
      <c r="B261" t="s">
        <v>900</v>
      </c>
      <c r="C261">
        <v>250</v>
      </c>
      <c r="D261" t="s">
        <v>876</v>
      </c>
      <c r="E261" t="s">
        <v>901</v>
      </c>
    </row>
    <row r="262" spans="1:5" x14ac:dyDescent="0.25">
      <c r="A262" t="s">
        <v>902</v>
      </c>
      <c r="B262" t="s">
        <v>903</v>
      </c>
      <c r="C262">
        <v>250</v>
      </c>
      <c r="D262" t="s">
        <v>876</v>
      </c>
      <c r="E262" t="s">
        <v>904</v>
      </c>
    </row>
    <row r="263" spans="1:5" x14ac:dyDescent="0.25">
      <c r="A263" t="s">
        <v>905</v>
      </c>
      <c r="B263" t="s">
        <v>906</v>
      </c>
      <c r="C263">
        <v>250</v>
      </c>
      <c r="D263" t="s">
        <v>876</v>
      </c>
      <c r="E263" t="s">
        <v>907</v>
      </c>
    </row>
    <row r="264" spans="1:5" x14ac:dyDescent="0.25">
      <c r="A264" t="s">
        <v>908</v>
      </c>
      <c r="B264" t="s">
        <v>909</v>
      </c>
      <c r="C264">
        <v>250</v>
      </c>
      <c r="D264" t="s">
        <v>876</v>
      </c>
      <c r="E264" t="s">
        <v>910</v>
      </c>
    </row>
    <row r="265" spans="1:5" x14ac:dyDescent="0.25">
      <c r="A265" t="s">
        <v>911</v>
      </c>
      <c r="B265" t="s">
        <v>912</v>
      </c>
      <c r="C265">
        <v>250</v>
      </c>
      <c r="D265" t="s">
        <v>876</v>
      </c>
      <c r="E265" t="s">
        <v>913</v>
      </c>
    </row>
    <row r="266" spans="1:5" x14ac:dyDescent="0.25">
      <c r="A266" t="s">
        <v>914</v>
      </c>
      <c r="B266" t="s">
        <v>915</v>
      </c>
      <c r="C266">
        <v>250</v>
      </c>
      <c r="D266" t="s">
        <v>876</v>
      </c>
      <c r="E266" t="s">
        <v>916</v>
      </c>
    </row>
    <row r="267" spans="1:5" x14ac:dyDescent="0.25">
      <c r="A267" t="s">
        <v>917</v>
      </c>
      <c r="B267" t="s">
        <v>918</v>
      </c>
      <c r="C267">
        <v>250</v>
      </c>
      <c r="D267" t="s">
        <v>893</v>
      </c>
      <c r="E267" t="s">
        <v>919</v>
      </c>
    </row>
    <row r="268" spans="1:5" x14ac:dyDescent="0.25">
      <c r="A268" t="s">
        <v>920</v>
      </c>
      <c r="B268" t="s">
        <v>921</v>
      </c>
      <c r="C268">
        <v>250</v>
      </c>
      <c r="D268" t="s">
        <v>893</v>
      </c>
      <c r="E268" t="s">
        <v>922</v>
      </c>
    </row>
    <row r="269" spans="1:5" x14ac:dyDescent="0.25">
      <c r="A269" t="s">
        <v>923</v>
      </c>
      <c r="B269" t="s">
        <v>921</v>
      </c>
      <c r="C269">
        <v>250</v>
      </c>
      <c r="D269" t="s">
        <v>893</v>
      </c>
      <c r="E269" t="s">
        <v>922</v>
      </c>
    </row>
    <row r="270" spans="1:5" x14ac:dyDescent="0.25">
      <c r="A270" t="s">
        <v>924</v>
      </c>
      <c r="B270" t="s">
        <v>925</v>
      </c>
      <c r="C270">
        <v>250</v>
      </c>
      <c r="D270" t="s">
        <v>893</v>
      </c>
      <c r="E270" t="s">
        <v>838</v>
      </c>
    </row>
    <row r="271" spans="1:5" x14ac:dyDescent="0.25">
      <c r="A271" t="s">
        <v>926</v>
      </c>
      <c r="B271" t="s">
        <v>927</v>
      </c>
      <c r="C271">
        <v>250</v>
      </c>
      <c r="D271" t="s">
        <v>893</v>
      </c>
      <c r="E271" t="s">
        <v>848</v>
      </c>
    </row>
    <row r="272" spans="1:5" x14ac:dyDescent="0.25">
      <c r="A272" t="s">
        <v>928</v>
      </c>
      <c r="B272" t="s">
        <v>929</v>
      </c>
      <c r="C272">
        <v>250</v>
      </c>
      <c r="D272" t="s">
        <v>893</v>
      </c>
      <c r="E272" t="s">
        <v>930</v>
      </c>
    </row>
    <row r="273" spans="1:5" x14ac:dyDescent="0.25">
      <c r="A273" t="s">
        <v>931</v>
      </c>
      <c r="B273" t="s">
        <v>932</v>
      </c>
      <c r="C273">
        <v>250</v>
      </c>
      <c r="D273" t="s">
        <v>893</v>
      </c>
      <c r="E273" t="s">
        <v>933</v>
      </c>
    </row>
    <row r="274" spans="1:5" x14ac:dyDescent="0.25">
      <c r="A274" t="s">
        <v>934</v>
      </c>
      <c r="B274" t="s">
        <v>935</v>
      </c>
      <c r="C274">
        <v>250</v>
      </c>
      <c r="D274" t="s">
        <v>893</v>
      </c>
      <c r="E274" t="s">
        <v>864</v>
      </c>
    </row>
    <row r="275" spans="1:5" x14ac:dyDescent="0.25">
      <c r="A275" t="s">
        <v>936</v>
      </c>
      <c r="B275" t="s">
        <v>937</v>
      </c>
      <c r="C275">
        <v>250</v>
      </c>
      <c r="D275" t="s">
        <v>893</v>
      </c>
      <c r="E275" t="s">
        <v>677</v>
      </c>
    </row>
    <row r="276" spans="1:5" x14ac:dyDescent="0.25">
      <c r="A276" t="s">
        <v>938</v>
      </c>
      <c r="B276" t="s">
        <v>939</v>
      </c>
      <c r="C276">
        <v>250</v>
      </c>
      <c r="D276" t="s">
        <v>893</v>
      </c>
      <c r="E276" t="s">
        <v>779</v>
      </c>
    </row>
    <row r="277" spans="1:5" x14ac:dyDescent="0.25">
      <c r="A277" t="s">
        <v>940</v>
      </c>
      <c r="B277" t="s">
        <v>941</v>
      </c>
      <c r="C277">
        <v>250</v>
      </c>
      <c r="D277" t="s">
        <v>893</v>
      </c>
      <c r="E277" t="s">
        <v>788</v>
      </c>
    </row>
    <row r="278" spans="1:5" x14ac:dyDescent="0.25">
      <c r="A278" t="s">
        <v>942</v>
      </c>
      <c r="B278" t="s">
        <v>943</v>
      </c>
      <c r="C278">
        <v>250</v>
      </c>
      <c r="D278" t="s">
        <v>876</v>
      </c>
      <c r="E278" t="s">
        <v>933</v>
      </c>
    </row>
    <row r="279" spans="1:5" x14ac:dyDescent="0.25">
      <c r="A279" t="s">
        <v>944</v>
      </c>
      <c r="B279" t="s">
        <v>945</v>
      </c>
      <c r="C279">
        <v>250</v>
      </c>
      <c r="D279" t="s">
        <v>876</v>
      </c>
      <c r="E279" t="s">
        <v>946</v>
      </c>
    </row>
    <row r="280" spans="1:5" x14ac:dyDescent="0.25">
      <c r="A280" t="s">
        <v>947</v>
      </c>
      <c r="B280" t="s">
        <v>948</v>
      </c>
      <c r="C280">
        <v>250</v>
      </c>
      <c r="D280" t="s">
        <v>876</v>
      </c>
      <c r="E280" t="s">
        <v>861</v>
      </c>
    </row>
    <row r="281" spans="1:5" x14ac:dyDescent="0.25">
      <c r="A281" t="s">
        <v>949</v>
      </c>
      <c r="B281" t="s">
        <v>948</v>
      </c>
      <c r="C281">
        <v>250</v>
      </c>
      <c r="D281" t="s">
        <v>876</v>
      </c>
      <c r="E281" t="s">
        <v>950</v>
      </c>
    </row>
    <row r="282" spans="1:5" x14ac:dyDescent="0.25">
      <c r="A282" t="s">
        <v>951</v>
      </c>
      <c r="B282" t="s">
        <v>952</v>
      </c>
      <c r="C282">
        <v>250</v>
      </c>
      <c r="D282" t="s">
        <v>876</v>
      </c>
      <c r="E282" t="s">
        <v>864</v>
      </c>
    </row>
    <row r="283" spans="1:5" x14ac:dyDescent="0.25">
      <c r="A283" t="s">
        <v>953</v>
      </c>
      <c r="B283" t="s">
        <v>952</v>
      </c>
      <c r="C283">
        <v>250</v>
      </c>
      <c r="D283" t="s">
        <v>876</v>
      </c>
      <c r="E283" t="s">
        <v>516</v>
      </c>
    </row>
    <row r="284" spans="1:5" x14ac:dyDescent="0.25">
      <c r="A284" t="s">
        <v>954</v>
      </c>
      <c r="B284" t="s">
        <v>955</v>
      </c>
      <c r="C284">
        <v>250</v>
      </c>
      <c r="D284" t="s">
        <v>876</v>
      </c>
      <c r="E284" t="s">
        <v>677</v>
      </c>
    </row>
    <row r="285" spans="1:5" x14ac:dyDescent="0.25">
      <c r="A285" t="s">
        <v>956</v>
      </c>
      <c r="B285" t="s">
        <v>957</v>
      </c>
      <c r="C285">
        <v>250</v>
      </c>
      <c r="D285" t="s">
        <v>876</v>
      </c>
      <c r="E285" t="s">
        <v>779</v>
      </c>
    </row>
    <row r="286" spans="1:5" x14ac:dyDescent="0.25">
      <c r="A286" t="s">
        <v>958</v>
      </c>
      <c r="B286" t="s">
        <v>959</v>
      </c>
      <c r="C286">
        <v>250</v>
      </c>
      <c r="D286" t="s">
        <v>876</v>
      </c>
      <c r="E286" t="s">
        <v>960</v>
      </c>
    </row>
    <row r="287" spans="1:5" x14ac:dyDescent="0.25">
      <c r="A287" t="s">
        <v>961</v>
      </c>
      <c r="B287" t="s">
        <v>962</v>
      </c>
      <c r="C287">
        <v>300</v>
      </c>
      <c r="D287" t="s">
        <v>963</v>
      </c>
      <c r="E287" t="s">
        <v>946</v>
      </c>
    </row>
    <row r="288" spans="1:5" x14ac:dyDescent="0.25">
      <c r="A288" t="s">
        <v>964</v>
      </c>
      <c r="B288" t="s">
        <v>965</v>
      </c>
      <c r="C288">
        <v>267</v>
      </c>
      <c r="D288" t="s">
        <v>966</v>
      </c>
      <c r="E288" t="s">
        <v>226</v>
      </c>
    </row>
    <row r="289" spans="1:5" x14ac:dyDescent="0.25">
      <c r="A289" t="s">
        <v>967</v>
      </c>
      <c r="B289" t="s">
        <v>968</v>
      </c>
      <c r="C289">
        <v>267</v>
      </c>
      <c r="D289" t="s">
        <v>966</v>
      </c>
      <c r="E289" t="s">
        <v>241</v>
      </c>
    </row>
    <row r="290" spans="1:5" x14ac:dyDescent="0.25">
      <c r="A290" t="s">
        <v>969</v>
      </c>
      <c r="B290" t="s">
        <v>970</v>
      </c>
      <c r="C290">
        <v>267</v>
      </c>
      <c r="D290" t="s">
        <v>966</v>
      </c>
      <c r="E290" t="s">
        <v>864</v>
      </c>
    </row>
    <row r="291" spans="1:5" x14ac:dyDescent="0.25">
      <c r="A291" t="s">
        <v>971</v>
      </c>
      <c r="B291" t="s">
        <v>972</v>
      </c>
      <c r="C291">
        <v>267</v>
      </c>
      <c r="D291" t="s">
        <v>966</v>
      </c>
      <c r="E291" t="s">
        <v>973</v>
      </c>
    </row>
    <row r="292" spans="1:5" x14ac:dyDescent="0.25">
      <c r="A292" t="s">
        <v>974</v>
      </c>
      <c r="B292" t="s">
        <v>975</v>
      </c>
      <c r="C292">
        <v>267</v>
      </c>
      <c r="D292" t="s">
        <v>976</v>
      </c>
      <c r="E292" t="s">
        <v>977</v>
      </c>
    </row>
    <row r="293" spans="1:5" x14ac:dyDescent="0.25">
      <c r="A293" t="s">
        <v>978</v>
      </c>
      <c r="B293" t="s">
        <v>979</v>
      </c>
      <c r="C293">
        <v>267</v>
      </c>
      <c r="D293" t="s">
        <v>976</v>
      </c>
      <c r="E293" t="s">
        <v>980</v>
      </c>
    </row>
    <row r="294" spans="1:5" x14ac:dyDescent="0.25">
      <c r="A294" t="s">
        <v>981</v>
      </c>
      <c r="B294" t="s">
        <v>982</v>
      </c>
      <c r="C294">
        <v>267</v>
      </c>
      <c r="D294" t="s">
        <v>976</v>
      </c>
      <c r="E294" t="s">
        <v>983</v>
      </c>
    </row>
    <row r="295" spans="1:5" x14ac:dyDescent="0.25">
      <c r="A295" t="s">
        <v>984</v>
      </c>
      <c r="B295" t="s">
        <v>985</v>
      </c>
      <c r="C295">
        <v>267</v>
      </c>
      <c r="D295" t="s">
        <v>976</v>
      </c>
    </row>
    <row r="296" spans="1:5" x14ac:dyDescent="0.25">
      <c r="A296" t="s">
        <v>986</v>
      </c>
      <c r="B296" t="s">
        <v>987</v>
      </c>
      <c r="C296">
        <v>267</v>
      </c>
      <c r="D296" t="s">
        <v>976</v>
      </c>
      <c r="E296" t="s">
        <v>988</v>
      </c>
    </row>
    <row r="297" spans="1:5" x14ac:dyDescent="0.25">
      <c r="A297" t="s">
        <v>989</v>
      </c>
      <c r="B297" t="s">
        <v>990</v>
      </c>
      <c r="C297">
        <v>267</v>
      </c>
      <c r="D297" t="s">
        <v>976</v>
      </c>
      <c r="E297" t="s">
        <v>991</v>
      </c>
    </row>
    <row r="298" spans="1:5" x14ac:dyDescent="0.25">
      <c r="A298" t="s">
        <v>992</v>
      </c>
      <c r="B298" t="s">
        <v>993</v>
      </c>
      <c r="C298">
        <v>267</v>
      </c>
      <c r="D298" t="s">
        <v>976</v>
      </c>
      <c r="E298" t="s">
        <v>922</v>
      </c>
    </row>
    <row r="299" spans="1:5" x14ac:dyDescent="0.25">
      <c r="A299" t="s">
        <v>994</v>
      </c>
      <c r="B299" t="s">
        <v>995</v>
      </c>
      <c r="C299">
        <v>267</v>
      </c>
      <c r="D299" t="s">
        <v>976</v>
      </c>
      <c r="E299" t="s">
        <v>267</v>
      </c>
    </row>
    <row r="300" spans="1:5" x14ac:dyDescent="0.25">
      <c r="A300" t="s">
        <v>996</v>
      </c>
      <c r="B300" t="s">
        <v>997</v>
      </c>
      <c r="C300">
        <v>267</v>
      </c>
      <c r="D300" t="s">
        <v>976</v>
      </c>
      <c r="E300" t="s">
        <v>998</v>
      </c>
    </row>
    <row r="301" spans="1:5" x14ac:dyDescent="0.25">
      <c r="A301" t="s">
        <v>999</v>
      </c>
      <c r="B301" t="s">
        <v>1000</v>
      </c>
      <c r="C301">
        <v>267</v>
      </c>
      <c r="D301" t="s">
        <v>976</v>
      </c>
      <c r="E301" t="s">
        <v>1001</v>
      </c>
    </row>
    <row r="302" spans="1:5" x14ac:dyDescent="0.25">
      <c r="A302" t="s">
        <v>1002</v>
      </c>
      <c r="B302" t="s">
        <v>1003</v>
      </c>
      <c r="C302">
        <v>267</v>
      </c>
      <c r="D302" t="s">
        <v>976</v>
      </c>
      <c r="E302" t="s">
        <v>946</v>
      </c>
    </row>
    <row r="303" spans="1:5" x14ac:dyDescent="0.25">
      <c r="A303" t="s">
        <v>1004</v>
      </c>
      <c r="B303" t="s">
        <v>1005</v>
      </c>
      <c r="C303">
        <v>267</v>
      </c>
      <c r="D303" t="s">
        <v>976</v>
      </c>
      <c r="E303" t="s">
        <v>516</v>
      </c>
    </row>
    <row r="304" spans="1:5" x14ac:dyDescent="0.25">
      <c r="A304" t="s">
        <v>1006</v>
      </c>
      <c r="B304" t="s">
        <v>1007</v>
      </c>
      <c r="C304">
        <v>267</v>
      </c>
      <c r="D304" t="s">
        <v>976</v>
      </c>
      <c r="E304" t="s">
        <v>1008</v>
      </c>
    </row>
    <row r="305" spans="1:5" x14ac:dyDescent="0.25">
      <c r="A305" t="s">
        <v>1009</v>
      </c>
      <c r="B305" t="s">
        <v>1010</v>
      </c>
      <c r="C305">
        <v>267</v>
      </c>
      <c r="D305" t="s">
        <v>976</v>
      </c>
      <c r="E305" t="s">
        <v>1011</v>
      </c>
    </row>
    <row r="306" spans="1:5" x14ac:dyDescent="0.25">
      <c r="A306" t="s">
        <v>1012</v>
      </c>
      <c r="B306" t="s">
        <v>1013</v>
      </c>
      <c r="C306">
        <v>267</v>
      </c>
      <c r="D306" t="s">
        <v>976</v>
      </c>
      <c r="E306" t="s">
        <v>870</v>
      </c>
    </row>
    <row r="307" spans="1:5" x14ac:dyDescent="0.25">
      <c r="A307" t="s">
        <v>1014</v>
      </c>
      <c r="B307" t="s">
        <v>1015</v>
      </c>
      <c r="C307">
        <v>267</v>
      </c>
      <c r="D307" t="s">
        <v>1016</v>
      </c>
      <c r="E307" t="s">
        <v>1017</v>
      </c>
    </row>
    <row r="308" spans="1:5" x14ac:dyDescent="0.25">
      <c r="A308" t="s">
        <v>1018</v>
      </c>
      <c r="B308" t="s">
        <v>1019</v>
      </c>
      <c r="C308">
        <v>267</v>
      </c>
      <c r="D308" t="s">
        <v>976</v>
      </c>
      <c r="E308" t="s">
        <v>788</v>
      </c>
    </row>
    <row r="309" spans="1:5" x14ac:dyDescent="0.25">
      <c r="A309" t="s">
        <v>1020</v>
      </c>
      <c r="B309" t="s">
        <v>1021</v>
      </c>
      <c r="C309">
        <v>267</v>
      </c>
      <c r="D309" t="s">
        <v>976</v>
      </c>
      <c r="E309" t="s">
        <v>1022</v>
      </c>
    </row>
    <row r="310" spans="1:5" x14ac:dyDescent="0.25">
      <c r="A310" t="s">
        <v>1023</v>
      </c>
      <c r="B310" t="s">
        <v>1024</v>
      </c>
      <c r="C310">
        <v>267</v>
      </c>
      <c r="D310" t="s">
        <v>1025</v>
      </c>
      <c r="E310" t="s">
        <v>991</v>
      </c>
    </row>
    <row r="311" spans="1:5" x14ac:dyDescent="0.25">
      <c r="A311" t="s">
        <v>1026</v>
      </c>
      <c r="B311" t="s">
        <v>1027</v>
      </c>
      <c r="C311">
        <v>267</v>
      </c>
      <c r="D311" t="s">
        <v>1025</v>
      </c>
      <c r="E311" t="s">
        <v>1028</v>
      </c>
    </row>
    <row r="312" spans="1:5" x14ac:dyDescent="0.25">
      <c r="A312" t="s">
        <v>1029</v>
      </c>
      <c r="B312" t="s">
        <v>1030</v>
      </c>
      <c r="C312">
        <v>267</v>
      </c>
      <c r="D312" t="s">
        <v>1025</v>
      </c>
      <c r="E312" t="s">
        <v>1031</v>
      </c>
    </row>
    <row r="313" spans="1:5" x14ac:dyDescent="0.25">
      <c r="A313" t="s">
        <v>1032</v>
      </c>
      <c r="B313" t="s">
        <v>1033</v>
      </c>
      <c r="C313">
        <v>267</v>
      </c>
      <c r="D313" t="s">
        <v>1025</v>
      </c>
      <c r="E313" t="s">
        <v>1034</v>
      </c>
    </row>
    <row r="314" spans="1:5" x14ac:dyDescent="0.25">
      <c r="A314" t="s">
        <v>1035</v>
      </c>
      <c r="B314" t="s">
        <v>1036</v>
      </c>
      <c r="C314">
        <v>267</v>
      </c>
      <c r="D314" t="s">
        <v>1025</v>
      </c>
      <c r="E314" t="s">
        <v>1037</v>
      </c>
    </row>
    <row r="315" spans="1:5" x14ac:dyDescent="0.25">
      <c r="A315" t="s">
        <v>1038</v>
      </c>
      <c r="B315" t="s">
        <v>1039</v>
      </c>
      <c r="C315">
        <v>267</v>
      </c>
      <c r="D315" t="s">
        <v>1040</v>
      </c>
      <c r="E315" t="s">
        <v>864</v>
      </c>
    </row>
    <row r="316" spans="1:5" x14ac:dyDescent="0.25">
      <c r="A316" t="s">
        <v>1041</v>
      </c>
      <c r="B316" t="s">
        <v>1042</v>
      </c>
      <c r="C316">
        <v>267</v>
      </c>
      <c r="D316" t="s">
        <v>1043</v>
      </c>
      <c r="E316" t="s">
        <v>187</v>
      </c>
    </row>
    <row r="317" spans="1:5" x14ac:dyDescent="0.25">
      <c r="A317" t="s">
        <v>1044</v>
      </c>
      <c r="B317" t="s">
        <v>1045</v>
      </c>
      <c r="C317">
        <v>267</v>
      </c>
      <c r="D317" t="s">
        <v>1046</v>
      </c>
      <c r="E317" t="s">
        <v>1047</v>
      </c>
    </row>
    <row r="318" spans="1:5" x14ac:dyDescent="0.25">
      <c r="A318" t="s">
        <v>1048</v>
      </c>
      <c r="B318" t="s">
        <v>1049</v>
      </c>
      <c r="C318">
        <v>267</v>
      </c>
      <c r="D318" t="s">
        <v>1046</v>
      </c>
      <c r="E318" t="s">
        <v>842</v>
      </c>
    </row>
    <row r="319" spans="1:5" x14ac:dyDescent="0.25">
      <c r="A319" t="s">
        <v>1050</v>
      </c>
      <c r="B319" t="s">
        <v>1049</v>
      </c>
      <c r="C319">
        <v>267</v>
      </c>
      <c r="D319" t="s">
        <v>1046</v>
      </c>
      <c r="E319" t="s">
        <v>842</v>
      </c>
    </row>
    <row r="320" spans="1:5" x14ac:dyDescent="0.25">
      <c r="A320" t="s">
        <v>1051</v>
      </c>
      <c r="B320" t="s">
        <v>1052</v>
      </c>
      <c r="C320">
        <v>267</v>
      </c>
      <c r="D320" t="s">
        <v>1046</v>
      </c>
      <c r="E320" t="s">
        <v>1053</v>
      </c>
    </row>
    <row r="321" spans="1:5" x14ac:dyDescent="0.25">
      <c r="A321" t="s">
        <v>1054</v>
      </c>
      <c r="B321" t="s">
        <v>1055</v>
      </c>
      <c r="C321">
        <v>267</v>
      </c>
      <c r="D321" t="s">
        <v>1046</v>
      </c>
      <c r="E321" t="s">
        <v>1056</v>
      </c>
    </row>
    <row r="322" spans="1:5" x14ac:dyDescent="0.25">
      <c r="A322" t="s">
        <v>1057</v>
      </c>
      <c r="B322" t="s">
        <v>1058</v>
      </c>
      <c r="C322">
        <v>267</v>
      </c>
      <c r="D322" t="s">
        <v>1046</v>
      </c>
      <c r="E322" t="s">
        <v>1001</v>
      </c>
    </row>
    <row r="323" spans="1:5" x14ac:dyDescent="0.25">
      <c r="A323" t="s">
        <v>1059</v>
      </c>
      <c r="B323" t="s">
        <v>1060</v>
      </c>
      <c r="C323">
        <v>267</v>
      </c>
      <c r="D323" t="s">
        <v>1046</v>
      </c>
      <c r="E323" t="s">
        <v>1061</v>
      </c>
    </row>
    <row r="324" spans="1:5" x14ac:dyDescent="0.25">
      <c r="A324" t="s">
        <v>1062</v>
      </c>
      <c r="B324" t="s">
        <v>1063</v>
      </c>
      <c r="C324">
        <v>267</v>
      </c>
      <c r="D324" t="s">
        <v>1046</v>
      </c>
      <c r="E324" t="s">
        <v>1064</v>
      </c>
    </row>
    <row r="325" spans="1:5" x14ac:dyDescent="0.25">
      <c r="A325" t="s">
        <v>1065</v>
      </c>
      <c r="B325" t="s">
        <v>1066</v>
      </c>
      <c r="C325">
        <v>300</v>
      </c>
      <c r="D325" t="s">
        <v>1067</v>
      </c>
      <c r="E325" t="s">
        <v>1068</v>
      </c>
    </row>
    <row r="326" spans="1:5" x14ac:dyDescent="0.25">
      <c r="A326" t="s">
        <v>358</v>
      </c>
      <c r="B326" t="s">
        <v>1069</v>
      </c>
      <c r="C326">
        <v>120</v>
      </c>
      <c r="D326" t="s">
        <v>140</v>
      </c>
      <c r="E326" t="s">
        <v>870</v>
      </c>
    </row>
    <row r="327" spans="1:5" x14ac:dyDescent="0.25">
      <c r="A327" t="s">
        <v>1070</v>
      </c>
      <c r="B327" t="s">
        <v>1071</v>
      </c>
      <c r="C327">
        <v>120</v>
      </c>
      <c r="D327" t="s">
        <v>140</v>
      </c>
      <c r="E327" t="s">
        <v>870</v>
      </c>
    </row>
    <row r="328" spans="1:5" x14ac:dyDescent="0.25">
      <c r="A328" t="s">
        <v>1072</v>
      </c>
      <c r="B328" t="s">
        <v>1073</v>
      </c>
      <c r="C328">
        <v>267</v>
      </c>
      <c r="D328" t="s">
        <v>1074</v>
      </c>
      <c r="E328" t="s">
        <v>1075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9358-75C5-4C4F-8867-A0354D1B1663}">
  <dimension ref="A1:W16"/>
  <sheetViews>
    <sheetView workbookViewId="0">
      <selection activeCell="G4" sqref="G4"/>
    </sheetView>
  </sheetViews>
  <sheetFormatPr baseColWidth="10" defaultRowHeight="15" x14ac:dyDescent="0.25"/>
  <sheetData>
    <row r="1" spans="1:23" x14ac:dyDescent="0.25">
      <c r="C1" s="97" t="s">
        <v>103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Q1" s="97" t="s">
        <v>102</v>
      </c>
      <c r="R1" s="97"/>
      <c r="S1" s="97"/>
      <c r="T1" s="97"/>
      <c r="U1" s="97"/>
    </row>
    <row r="2" spans="1:23" x14ac:dyDescent="0.25">
      <c r="C2" t="s">
        <v>29</v>
      </c>
      <c r="E2" t="s">
        <v>30</v>
      </c>
      <c r="G2" t="s">
        <v>31</v>
      </c>
      <c r="I2" t="s">
        <v>33</v>
      </c>
      <c r="K2" t="s">
        <v>34</v>
      </c>
      <c r="M2" t="s">
        <v>107</v>
      </c>
      <c r="O2" t="s">
        <v>108</v>
      </c>
      <c r="Q2" t="s">
        <v>106</v>
      </c>
      <c r="S2" t="s">
        <v>104</v>
      </c>
      <c r="U2" t="s">
        <v>105</v>
      </c>
    </row>
    <row r="3" spans="1:23" x14ac:dyDescent="0.25">
      <c r="A3" s="96">
        <v>1</v>
      </c>
      <c r="B3" t="s">
        <v>28</v>
      </c>
      <c r="C3">
        <f>(Datos!C$20+Datos!C$26+Datos!C$23)/2</f>
        <v>0</v>
      </c>
      <c r="E3">
        <f>SQRT(C3*(C3-Datos!C$20)*(C3-Datos!C$26)*(C3-Datos!C$23))</f>
        <v>0</v>
      </c>
      <c r="G3" t="e">
        <f>2*E3/Datos!C$20</f>
        <v>#DIV/0!</v>
      </c>
      <c r="I3" t="e">
        <f>SQRT(Datos!C$23^2-G3^2)</f>
        <v>#DIV/0!</v>
      </c>
      <c r="K3" t="e">
        <f>DEGREES(ACOS((Datos!C$23^2+Datos!C$20^2-Datos!C$26^2)/(2*Datos!C$23*Datos!C$20)))</f>
        <v>#DIV/0!</v>
      </c>
      <c r="M3" t="e">
        <f>IF('Cálculos de escuadrado'!$K3&gt;90,'Cálculos de escuadrado'!$I3,-'Cálculos de escuadrado'!$I3)</f>
        <v>#DIV/0!</v>
      </c>
      <c r="O3">
        <f>SUMIF(M3:M4,"&lt;0",M3:M4)</f>
        <v>0</v>
      </c>
      <c r="Q3" t="e">
        <f>Datos!C20+'Cálculos de escuadrado'!M3+'Cálculos de escuadrado'!M4</f>
        <v>#DIV/0!</v>
      </c>
      <c r="S3" t="e">
        <f>G3-G4</f>
        <v>#DIV/0!</v>
      </c>
      <c r="U3" t="e">
        <f>SQRT(Q3^2+S3^2)</f>
        <v>#DIV/0!</v>
      </c>
      <c r="W3">
        <f>SUMIF(M3:M4,"&lt;0")</f>
        <v>0</v>
      </c>
    </row>
    <row r="4" spans="1:23" x14ac:dyDescent="0.25">
      <c r="A4" s="96"/>
      <c r="B4" t="s">
        <v>32</v>
      </c>
      <c r="C4">
        <f>(Datos!C$20+Datos!C$27+Datos!C$24)/2</f>
        <v>0</v>
      </c>
      <c r="E4">
        <f>SQRT(C4*(C4-Datos!C$20)*(C4-Datos!C$27)*(C4-Datos!C$24))</f>
        <v>0</v>
      </c>
      <c r="G4" t="e">
        <f>2*E4/Datos!C$20</f>
        <v>#DIV/0!</v>
      </c>
      <c r="I4" t="e">
        <f>SQRT(Datos!C$24^2-G4^2)</f>
        <v>#DIV/0!</v>
      </c>
      <c r="K4" t="e">
        <f>DEGREES(ACOS((Datos!C$24^2+Datos!C$20^2-Datos!C$27^2)/(2*Datos!C$24*Datos!C$20)))</f>
        <v>#DIV/0!</v>
      </c>
      <c r="M4" t="e">
        <f>IF('Cálculos de escuadrado'!$K4&gt;90,'Cálculos de escuadrado'!$I4,-'Cálculos de escuadrado'!$I4)</f>
        <v>#DIV/0!</v>
      </c>
    </row>
    <row r="5" spans="1:23" x14ac:dyDescent="0.25">
      <c r="A5" s="36"/>
    </row>
    <row r="6" spans="1:23" x14ac:dyDescent="0.25">
      <c r="A6" s="36"/>
    </row>
    <row r="7" spans="1:23" x14ac:dyDescent="0.25">
      <c r="A7" s="96">
        <v>2</v>
      </c>
      <c r="B7" t="s">
        <v>28</v>
      </c>
      <c r="C7">
        <f>(Datos!G$20+Datos!G$26+Datos!G$23)/2</f>
        <v>0</v>
      </c>
      <c r="E7">
        <f>SQRT(C7*(C7-Datos!G$20)*(C7-Datos!G$26)*(C7-Datos!G$23))</f>
        <v>0</v>
      </c>
      <c r="G7" t="e">
        <f>2*E7/Datos!G$20</f>
        <v>#DIV/0!</v>
      </c>
      <c r="I7" t="e">
        <f>SQRT(Datos!G$23^2-G7^2)</f>
        <v>#DIV/0!</v>
      </c>
      <c r="K7" t="e">
        <f>DEGREES(ACOS((Datos!G$23^2+Datos!G$20^2-Datos!G$26^2)/(2*Datos!G$23*Datos!G$20)))</f>
        <v>#DIV/0!</v>
      </c>
      <c r="M7" t="e">
        <f>IF('Cálculos de escuadrado'!$K7&gt;90,'Cálculos de escuadrado'!$I7,-'Cálculos de escuadrado'!$I7)</f>
        <v>#DIV/0!</v>
      </c>
      <c r="O7">
        <f>SUMIF(M3:M4,"&lt;0",M3:M4)</f>
        <v>0</v>
      </c>
      <c r="Q7" t="e">
        <f>Datos!G20+'Cálculos de escuadrado'!M7+'Cálculos de escuadrado'!M8</f>
        <v>#DIV/0!</v>
      </c>
      <c r="S7" t="e">
        <f>G7-G8</f>
        <v>#DIV/0!</v>
      </c>
      <c r="U7" t="e">
        <f>SQRT(Q7^2+S7^2)</f>
        <v>#DIV/0!</v>
      </c>
    </row>
    <row r="8" spans="1:23" x14ac:dyDescent="0.25">
      <c r="A8" s="96"/>
      <c r="B8" t="s">
        <v>32</v>
      </c>
      <c r="C8">
        <f>(Datos!G$20+Datos!G$27+Datos!G$24)/2</f>
        <v>0</v>
      </c>
      <c r="E8">
        <f>SQRT(C8*(C8-Datos!G$20)*(C8-Datos!G$27)*(C8-Datos!G$24))</f>
        <v>0</v>
      </c>
      <c r="G8" t="e">
        <f>2*E8/Datos!G$20</f>
        <v>#DIV/0!</v>
      </c>
      <c r="I8" t="e">
        <f>SQRT(Datos!G$24^2-G8^2)</f>
        <v>#DIV/0!</v>
      </c>
      <c r="K8" t="e">
        <f>DEGREES(ACOS((Datos!G$24^2+Datos!G$20^2-Datos!G$27^2)/(2*Datos!G$24*Datos!G$20)))</f>
        <v>#DIV/0!</v>
      </c>
      <c r="M8" t="e">
        <f>IF('Cálculos de escuadrado'!$K8&gt;90,'Cálculos de escuadrado'!$I8,-'Cálculos de escuadrado'!$I8)</f>
        <v>#DIV/0!</v>
      </c>
    </row>
    <row r="9" spans="1:23" x14ac:dyDescent="0.25">
      <c r="A9" s="36"/>
    </row>
    <row r="10" spans="1:23" x14ac:dyDescent="0.25">
      <c r="A10" s="36"/>
    </row>
    <row r="11" spans="1:23" x14ac:dyDescent="0.25">
      <c r="A11" s="96">
        <v>2</v>
      </c>
      <c r="B11" t="s">
        <v>28</v>
      </c>
      <c r="C11">
        <f>(Datos!K$20+Datos!K$26+Datos!K$23)/2</f>
        <v>0</v>
      </c>
      <c r="E11">
        <f>SQRT(C11*(C11-Datos!K$20)*(C11-Datos!K$26)*(C11-Datos!K$23))</f>
        <v>0</v>
      </c>
      <c r="G11" t="e">
        <f>2*E11/Datos!K$20</f>
        <v>#DIV/0!</v>
      </c>
      <c r="I11" t="e">
        <f>SQRT(Datos!K$23^2-G11^2)</f>
        <v>#DIV/0!</v>
      </c>
      <c r="K11" t="e">
        <f>DEGREES(ACOS((Datos!K$23^2+Datos!K$20^2-Datos!K$26^2)/(2*Datos!K$23*Datos!K$20)))</f>
        <v>#DIV/0!</v>
      </c>
      <c r="M11" t="e">
        <f>IF('Cálculos de escuadrado'!$K11&gt;90,'Cálculos de escuadrado'!$I11,-'Cálculos de escuadrado'!$I11)</f>
        <v>#DIV/0!</v>
      </c>
      <c r="O11">
        <f>SUMIF(M3:M4,"&lt;0",M3:M4)</f>
        <v>0</v>
      </c>
      <c r="Q11" t="e">
        <f>Datos!K20+'Cálculos de escuadrado'!M11+'Cálculos de escuadrado'!M12</f>
        <v>#DIV/0!</v>
      </c>
      <c r="S11" t="e">
        <f>G11-G12</f>
        <v>#DIV/0!</v>
      </c>
      <c r="U11" t="e">
        <f>SQRT(Q11^2+S11^2)</f>
        <v>#DIV/0!</v>
      </c>
    </row>
    <row r="12" spans="1:23" x14ac:dyDescent="0.25">
      <c r="A12" s="96"/>
      <c r="B12" t="s">
        <v>32</v>
      </c>
      <c r="C12">
        <f>(Datos!K$20+Datos!K$27+Datos!K$24)/2</f>
        <v>0</v>
      </c>
      <c r="E12">
        <f>SQRT(C12*(C12-Datos!K$20)*(C12-Datos!K$27)*(C12-Datos!K$24))</f>
        <v>0</v>
      </c>
      <c r="G12" t="e">
        <f>2*E12/Datos!K$20</f>
        <v>#DIV/0!</v>
      </c>
      <c r="I12" t="e">
        <f>SQRT(Datos!K$24^2-G12^2)</f>
        <v>#DIV/0!</v>
      </c>
      <c r="K12" t="e">
        <f>DEGREES(ACOS((Datos!K$24^2+Datos!K$20^2-Datos!K$27^2)/(2*Datos!K$24*Datos!K$20)))</f>
        <v>#DIV/0!</v>
      </c>
      <c r="M12" t="e">
        <f>IF('Cálculos de escuadrado'!$K12&gt;90,'Cálculos de escuadrado'!$I12,-'Cálculos de escuadrado'!$I12)</f>
        <v>#DIV/0!</v>
      </c>
    </row>
    <row r="13" spans="1:23" x14ac:dyDescent="0.25">
      <c r="A13" s="36"/>
    </row>
    <row r="14" spans="1:23" x14ac:dyDescent="0.25">
      <c r="A14" s="36"/>
    </row>
    <row r="15" spans="1:23" x14ac:dyDescent="0.25">
      <c r="A15" s="96">
        <v>2</v>
      </c>
      <c r="B15" t="s">
        <v>28</v>
      </c>
      <c r="C15">
        <f>(Datos!O$20+Datos!O$26+Datos!O$23)/2</f>
        <v>0</v>
      </c>
      <c r="E15">
        <f>SQRT(C15*(C15-Datos!O$20)*(C15-Datos!O$26)*(C15-Datos!O$23))</f>
        <v>0</v>
      </c>
      <c r="G15" t="e">
        <f>2*E15/Datos!O$20</f>
        <v>#DIV/0!</v>
      </c>
      <c r="I15" t="e">
        <f>SQRT(Datos!O$23^2-G15^2)</f>
        <v>#DIV/0!</v>
      </c>
      <c r="K15" t="e">
        <f>DEGREES(ACOS((Datos!O$23^2+Datos!O$20^2-Datos!O$26^2)/(2*Datos!O$23*Datos!O$20)))</f>
        <v>#DIV/0!</v>
      </c>
      <c r="M15" t="e">
        <f>IF('Cálculos de escuadrado'!$K15&gt;90,'Cálculos de escuadrado'!$I15,-'Cálculos de escuadrado'!$I15)</f>
        <v>#DIV/0!</v>
      </c>
      <c r="O15">
        <f>SUMIF(M3:M4,"&lt;0",M3:M4)</f>
        <v>0</v>
      </c>
      <c r="Q15" t="e">
        <f>Datos!O20+'Cálculos de escuadrado'!M15+'Cálculos de escuadrado'!M16</f>
        <v>#DIV/0!</v>
      </c>
      <c r="S15" t="e">
        <f>G15-G16</f>
        <v>#DIV/0!</v>
      </c>
      <c r="U15" t="e">
        <f>SQRT(Q15^2+S15^2)</f>
        <v>#DIV/0!</v>
      </c>
    </row>
    <row r="16" spans="1:23" x14ac:dyDescent="0.25">
      <c r="A16" s="96"/>
      <c r="B16" t="s">
        <v>32</v>
      </c>
      <c r="C16">
        <f>(Datos!O$20+Datos!O$27+Datos!O$24)/2</f>
        <v>0</v>
      </c>
      <c r="E16">
        <f>SQRT(C16*(C16-Datos!O$20)*(C16-Datos!O$27)*(C16-Datos!O$24))</f>
        <v>0</v>
      </c>
      <c r="G16" t="e">
        <f>2*E16/Datos!O$20</f>
        <v>#DIV/0!</v>
      </c>
      <c r="I16" t="e">
        <f>SQRT(Datos!O$24^2-G16^2)</f>
        <v>#DIV/0!</v>
      </c>
      <c r="K16" t="e">
        <f>DEGREES(ACOS((Datos!O$24^2+Datos!O$20^2-Datos!O$27^2)/(2*Datos!O$24*Datos!O$20)))</f>
        <v>#DIV/0!</v>
      </c>
      <c r="M16" t="e">
        <f>IF('Cálculos de escuadrado'!$K16&gt;90,'Cálculos de escuadrado'!$I16,-'Cálculos de escuadrado'!$I16)</f>
        <v>#DIV/0!</v>
      </c>
    </row>
  </sheetData>
  <mergeCells count="6">
    <mergeCell ref="A15:A16"/>
    <mergeCell ref="Q1:U1"/>
    <mergeCell ref="C1:O1"/>
    <mergeCell ref="A3:A4"/>
    <mergeCell ref="A7:A8"/>
    <mergeCell ref="A11:A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E3F9-9F88-4013-BF4F-EBC43CA7001C}">
  <dimension ref="A1:AA46"/>
  <sheetViews>
    <sheetView workbookViewId="0">
      <pane xSplit="3" ySplit="5" topLeftCell="N6" activePane="bottomRight" state="frozen"/>
      <selection activeCell="E17" sqref="E17"/>
      <selection pane="topRight" activeCell="E17" sqref="E17"/>
      <selection pane="bottomLeft" activeCell="E17" sqref="E17"/>
      <selection pane="bottomRight" activeCell="O20" sqref="O20"/>
    </sheetView>
  </sheetViews>
  <sheetFormatPr baseColWidth="10" defaultRowHeight="15" x14ac:dyDescent="0.25"/>
  <cols>
    <col min="1" max="1" width="5.85546875" customWidth="1"/>
    <col min="2" max="2" width="21.42578125" customWidth="1"/>
    <col min="3" max="3" width="28.5703125" customWidth="1"/>
  </cols>
  <sheetData>
    <row r="1" spans="1:27" x14ac:dyDescent="0.25">
      <c r="A1">
        <v>1</v>
      </c>
      <c r="E1" s="3" t="s">
        <v>67</v>
      </c>
      <c r="F1" s="3" t="s">
        <v>68</v>
      </c>
      <c r="G1" s="3" t="s">
        <v>120</v>
      </c>
      <c r="H1" s="3" t="s">
        <v>69</v>
      </c>
      <c r="I1" s="3" t="s">
        <v>70</v>
      </c>
      <c r="J1" s="3" t="s">
        <v>71</v>
      </c>
      <c r="K1" s="3" t="s">
        <v>72</v>
      </c>
      <c r="L1" s="3" t="s">
        <v>73</v>
      </c>
      <c r="M1" s="3" t="s">
        <v>74</v>
      </c>
      <c r="N1" s="3" t="s">
        <v>75</v>
      </c>
      <c r="O1" s="3" t="s">
        <v>77</v>
      </c>
      <c r="P1" s="3" t="s">
        <v>78</v>
      </c>
      <c r="Q1" s="3" t="s">
        <v>82</v>
      </c>
      <c r="R1" s="3" t="s">
        <v>83</v>
      </c>
      <c r="S1" s="3" t="s">
        <v>88</v>
      </c>
      <c r="T1" s="3" t="s">
        <v>79</v>
      </c>
      <c r="U1" s="3" t="s">
        <v>91</v>
      </c>
      <c r="V1" s="3" t="s">
        <v>92</v>
      </c>
      <c r="W1" s="3" t="s">
        <v>93</v>
      </c>
      <c r="X1" s="3" t="s">
        <v>94</v>
      </c>
      <c r="Y1" s="3" t="s">
        <v>80</v>
      </c>
      <c r="Z1" s="3" t="s">
        <v>81</v>
      </c>
      <c r="AA1" s="3" t="s">
        <v>113</v>
      </c>
    </row>
    <row r="2" spans="1:27" x14ac:dyDescent="0.25">
      <c r="A2">
        <v>2</v>
      </c>
      <c r="D2" t="s">
        <v>18</v>
      </c>
      <c r="E2" s="103">
        <v>110</v>
      </c>
      <c r="F2" s="103"/>
      <c r="G2" s="103"/>
      <c r="H2" s="103"/>
      <c r="I2" s="103"/>
      <c r="J2" s="103"/>
      <c r="K2" s="103"/>
      <c r="L2" s="103"/>
      <c r="M2" s="103"/>
      <c r="N2" s="104"/>
      <c r="O2" s="105">
        <v>130</v>
      </c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4"/>
      <c r="AA2" s="29">
        <v>150</v>
      </c>
    </row>
    <row r="3" spans="1:27" x14ac:dyDescent="0.25">
      <c r="A3">
        <v>3</v>
      </c>
      <c r="D3" t="s">
        <v>19</v>
      </c>
      <c r="E3" s="98" t="s">
        <v>19</v>
      </c>
      <c r="F3" s="98"/>
      <c r="G3" s="98"/>
      <c r="H3" s="98"/>
      <c r="I3" s="98"/>
      <c r="J3" s="98"/>
      <c r="K3" s="98"/>
      <c r="L3" s="102"/>
      <c r="M3" s="98" t="s">
        <v>37</v>
      </c>
      <c r="N3" s="99"/>
      <c r="O3" s="106" t="s">
        <v>19</v>
      </c>
      <c r="P3" s="98"/>
      <c r="Q3" s="98"/>
      <c r="R3" s="98"/>
      <c r="S3" s="98"/>
      <c r="T3" s="98"/>
      <c r="U3" s="98"/>
      <c r="V3" s="98"/>
      <c r="W3" s="98"/>
      <c r="X3" s="102"/>
      <c r="Y3" s="98" t="s">
        <v>37</v>
      </c>
      <c r="Z3" s="99"/>
      <c r="AA3" s="23" t="s">
        <v>19</v>
      </c>
    </row>
    <row r="4" spans="1:27" x14ac:dyDescent="0.25">
      <c r="A4">
        <v>4</v>
      </c>
      <c r="D4" t="s">
        <v>4</v>
      </c>
      <c r="E4" s="98" t="s">
        <v>35</v>
      </c>
      <c r="F4" s="101"/>
      <c r="G4" s="100" t="s">
        <v>36</v>
      </c>
      <c r="H4" s="101"/>
      <c r="I4" s="100" t="s">
        <v>57</v>
      </c>
      <c r="J4" s="101"/>
      <c r="K4" s="100" t="s">
        <v>52</v>
      </c>
      <c r="L4" s="102"/>
      <c r="M4" s="98" t="s">
        <v>47</v>
      </c>
      <c r="N4" s="99"/>
      <c r="O4" s="106" t="s">
        <v>35</v>
      </c>
      <c r="P4" s="101"/>
      <c r="Q4" s="100" t="s">
        <v>87</v>
      </c>
      <c r="R4" s="101"/>
      <c r="S4" s="100" t="s">
        <v>84</v>
      </c>
      <c r="T4" s="101"/>
      <c r="U4" s="98" t="s">
        <v>89</v>
      </c>
      <c r="V4" s="101"/>
      <c r="W4" s="100" t="s">
        <v>4</v>
      </c>
      <c r="X4" s="102"/>
      <c r="Y4" s="98" t="s">
        <v>90</v>
      </c>
      <c r="Z4" s="99"/>
      <c r="AA4" s="23"/>
    </row>
    <row r="5" spans="1:27" x14ac:dyDescent="0.25">
      <c r="A5">
        <v>5</v>
      </c>
      <c r="B5" t="s">
        <v>58</v>
      </c>
      <c r="C5" t="s">
        <v>59</v>
      </c>
      <c r="D5" t="s">
        <v>6</v>
      </c>
      <c r="E5" s="23" t="s">
        <v>7</v>
      </c>
      <c r="F5" s="22" t="s">
        <v>8</v>
      </c>
      <c r="G5" s="21" t="s">
        <v>7</v>
      </c>
      <c r="H5" s="22" t="s">
        <v>8</v>
      </c>
      <c r="I5" s="21" t="s">
        <v>7</v>
      </c>
      <c r="J5" s="22" t="s">
        <v>8</v>
      </c>
      <c r="K5" s="21" t="s">
        <v>7</v>
      </c>
      <c r="L5" s="24" t="s">
        <v>8</v>
      </c>
      <c r="M5" s="23" t="s">
        <v>7</v>
      </c>
      <c r="N5" s="25" t="s">
        <v>8</v>
      </c>
      <c r="O5" s="26" t="s">
        <v>7</v>
      </c>
      <c r="P5" s="22" t="s">
        <v>8</v>
      </c>
      <c r="Q5" s="21" t="s">
        <v>7</v>
      </c>
      <c r="R5" s="22" t="s">
        <v>8</v>
      </c>
      <c r="S5" s="21" t="s">
        <v>7</v>
      </c>
      <c r="T5" s="22" t="s">
        <v>8</v>
      </c>
      <c r="U5" s="22" t="s">
        <v>7</v>
      </c>
      <c r="V5" s="27" t="s">
        <v>8</v>
      </c>
      <c r="W5" s="21" t="s">
        <v>7</v>
      </c>
      <c r="X5" s="24" t="s">
        <v>8</v>
      </c>
      <c r="Y5" s="23" t="s">
        <v>7</v>
      </c>
      <c r="Z5" s="25" t="s">
        <v>8</v>
      </c>
      <c r="AA5" s="23" t="s">
        <v>8</v>
      </c>
    </row>
    <row r="6" spans="1:27" x14ac:dyDescent="0.25">
      <c r="A6">
        <v>6</v>
      </c>
      <c r="B6" t="s">
        <v>45</v>
      </c>
      <c r="C6" t="s">
        <v>38</v>
      </c>
      <c r="E6" s="6">
        <v>9</v>
      </c>
      <c r="F6" s="7">
        <v>9</v>
      </c>
      <c r="G6" s="9" t="s">
        <v>48</v>
      </c>
      <c r="H6" s="7">
        <v>5.2</v>
      </c>
      <c r="I6" s="12">
        <v>9.6999999999999993</v>
      </c>
      <c r="J6" s="7">
        <v>8.5</v>
      </c>
      <c r="K6" s="12">
        <v>10.6</v>
      </c>
      <c r="L6" s="15">
        <v>9.4</v>
      </c>
      <c r="M6" s="6">
        <v>9</v>
      </c>
      <c r="N6" s="17">
        <v>9</v>
      </c>
      <c r="O6" s="19">
        <v>9</v>
      </c>
      <c r="P6" s="7">
        <v>9</v>
      </c>
      <c r="Q6" s="13">
        <v>9.4</v>
      </c>
      <c r="R6" s="14">
        <v>9.4</v>
      </c>
      <c r="S6" s="8" t="s">
        <v>48</v>
      </c>
      <c r="T6" s="7">
        <v>5.2</v>
      </c>
      <c r="U6" s="6" t="s">
        <v>48</v>
      </c>
      <c r="V6" s="14">
        <v>5.2</v>
      </c>
      <c r="W6" s="10"/>
      <c r="X6" s="16"/>
      <c r="Y6">
        <v>9</v>
      </c>
      <c r="Z6" s="18"/>
      <c r="AA6">
        <v>9</v>
      </c>
    </row>
    <row r="7" spans="1:27" x14ac:dyDescent="0.25">
      <c r="A7">
        <v>7</v>
      </c>
      <c r="C7" t="s">
        <v>39</v>
      </c>
      <c r="E7" s="6"/>
      <c r="F7" s="7"/>
      <c r="G7" s="9"/>
      <c r="H7" s="7"/>
      <c r="I7" s="8"/>
      <c r="J7" s="7"/>
      <c r="K7" s="8"/>
      <c r="L7" s="15"/>
      <c r="M7" s="6"/>
      <c r="N7" s="17"/>
      <c r="O7" s="19"/>
      <c r="P7" s="7"/>
      <c r="Q7" s="13"/>
      <c r="R7" s="14"/>
      <c r="S7" s="8"/>
      <c r="T7" s="7"/>
      <c r="U7" s="6"/>
      <c r="V7" s="14"/>
      <c r="W7" s="10"/>
      <c r="X7" s="16"/>
      <c r="Z7" s="18"/>
    </row>
    <row r="8" spans="1:27" x14ac:dyDescent="0.25">
      <c r="A8">
        <v>8</v>
      </c>
      <c r="B8" t="s">
        <v>46</v>
      </c>
      <c r="C8" t="s">
        <v>19</v>
      </c>
      <c r="E8" s="6">
        <v>1.4</v>
      </c>
      <c r="F8" s="7">
        <v>1.4</v>
      </c>
      <c r="G8" s="9" t="s">
        <v>48</v>
      </c>
      <c r="H8" s="7">
        <v>1.4</v>
      </c>
      <c r="I8" s="8">
        <v>1.4</v>
      </c>
      <c r="J8" s="7">
        <v>1.4</v>
      </c>
      <c r="K8" s="8">
        <v>1.4</v>
      </c>
      <c r="L8" s="15">
        <v>1.4</v>
      </c>
      <c r="M8" s="6">
        <v>1.4</v>
      </c>
      <c r="N8" s="17"/>
      <c r="O8" s="19">
        <v>1.4</v>
      </c>
      <c r="P8" s="15">
        <v>1.4</v>
      </c>
      <c r="Q8" s="28">
        <v>1.4</v>
      </c>
      <c r="R8" s="14">
        <v>1.4</v>
      </c>
      <c r="S8" s="8" t="s">
        <v>48</v>
      </c>
      <c r="T8" s="7">
        <v>1.4</v>
      </c>
      <c r="U8" s="6" t="s">
        <v>48</v>
      </c>
      <c r="V8" s="14">
        <v>1.4</v>
      </c>
      <c r="W8" s="10"/>
      <c r="X8" s="16"/>
      <c r="Z8" s="18"/>
      <c r="AA8">
        <v>0.6</v>
      </c>
    </row>
    <row r="9" spans="1:27" x14ac:dyDescent="0.25">
      <c r="A9">
        <v>9</v>
      </c>
      <c r="B9" t="s">
        <v>44</v>
      </c>
      <c r="C9" t="s">
        <v>40</v>
      </c>
      <c r="E9" s="6">
        <v>15.8</v>
      </c>
      <c r="F9" s="7">
        <v>14.8</v>
      </c>
      <c r="G9" s="9" t="s">
        <v>48</v>
      </c>
      <c r="H9" s="7">
        <v>14.6</v>
      </c>
      <c r="I9" s="8">
        <v>15.5</v>
      </c>
      <c r="J9" s="7">
        <v>14.8</v>
      </c>
      <c r="K9" s="8">
        <v>15.5</v>
      </c>
      <c r="L9" s="15">
        <v>14.8</v>
      </c>
      <c r="M9" s="6">
        <v>15.8</v>
      </c>
      <c r="N9" s="17">
        <v>14.8</v>
      </c>
      <c r="O9" s="19">
        <v>15.8</v>
      </c>
      <c r="P9" s="15">
        <v>14.8</v>
      </c>
      <c r="Q9" s="28">
        <v>15.8</v>
      </c>
      <c r="R9" s="14">
        <v>14.8</v>
      </c>
      <c r="S9" s="8" t="s">
        <v>48</v>
      </c>
      <c r="T9" s="7">
        <v>14.6</v>
      </c>
      <c r="U9" s="6" t="s">
        <v>48</v>
      </c>
      <c r="V9" s="14">
        <v>14.6</v>
      </c>
      <c r="W9" s="10"/>
      <c r="X9" s="16"/>
      <c r="Y9">
        <v>15.8</v>
      </c>
      <c r="Z9" s="18"/>
      <c r="AA9">
        <v>16.8</v>
      </c>
    </row>
    <row r="10" spans="1:27" x14ac:dyDescent="0.25">
      <c r="A10">
        <v>10</v>
      </c>
      <c r="B10" t="s">
        <v>43</v>
      </c>
      <c r="C10" t="s">
        <v>41</v>
      </c>
      <c r="E10" s="6">
        <v>13.2</v>
      </c>
      <c r="F10" s="7">
        <v>13.2</v>
      </c>
      <c r="G10" s="9" t="s">
        <v>48</v>
      </c>
      <c r="H10" s="7">
        <v>9.4</v>
      </c>
      <c r="I10" s="8">
        <v>14.6</v>
      </c>
      <c r="J10" s="7">
        <v>13.4</v>
      </c>
      <c r="K10" s="8">
        <v>14.6</v>
      </c>
      <c r="L10" s="15">
        <v>13.4</v>
      </c>
      <c r="M10" s="6">
        <v>13.2</v>
      </c>
      <c r="N10" s="17">
        <v>13.2</v>
      </c>
      <c r="O10" s="19">
        <v>13.2</v>
      </c>
      <c r="P10" s="15">
        <v>13.2</v>
      </c>
      <c r="Q10" s="28">
        <v>13.2</v>
      </c>
      <c r="R10" s="14">
        <v>13.2</v>
      </c>
      <c r="S10" s="8" t="s">
        <v>48</v>
      </c>
      <c r="T10" s="7">
        <v>9.4</v>
      </c>
      <c r="U10" s="6" t="s">
        <v>48</v>
      </c>
      <c r="V10" s="14">
        <v>8.8000000000000007</v>
      </c>
      <c r="W10" s="10"/>
      <c r="X10" s="16"/>
      <c r="Y10">
        <v>13.2</v>
      </c>
      <c r="Z10" s="18"/>
      <c r="AA10">
        <v>13.2</v>
      </c>
    </row>
    <row r="11" spans="1:27" x14ac:dyDescent="0.25">
      <c r="A11">
        <v>11</v>
      </c>
      <c r="B11" t="s">
        <v>42</v>
      </c>
      <c r="C11" t="s">
        <v>42</v>
      </c>
      <c r="E11" s="6">
        <v>26.2</v>
      </c>
      <c r="F11" s="7">
        <v>26.2</v>
      </c>
      <c r="G11" s="9" t="s">
        <v>48</v>
      </c>
      <c r="H11" s="7">
        <v>22.4</v>
      </c>
      <c r="I11" s="8">
        <v>27.6</v>
      </c>
      <c r="J11" s="7">
        <v>26.4</v>
      </c>
      <c r="K11" s="8">
        <v>44.6</v>
      </c>
      <c r="L11" s="15">
        <v>33.4</v>
      </c>
      <c r="M11" s="6">
        <v>26.2</v>
      </c>
      <c r="N11" s="17">
        <v>26.2</v>
      </c>
      <c r="O11" s="19">
        <v>26.2</v>
      </c>
      <c r="P11" s="7">
        <v>26.2</v>
      </c>
      <c r="Q11" s="13">
        <v>33.200000000000003</v>
      </c>
      <c r="R11" s="14">
        <v>33.200000000000003</v>
      </c>
      <c r="S11" s="8" t="s">
        <v>48</v>
      </c>
      <c r="T11" s="7">
        <v>22.4</v>
      </c>
      <c r="U11" s="6" t="s">
        <v>48</v>
      </c>
      <c r="V11" s="14">
        <v>28.8</v>
      </c>
      <c r="W11" s="10"/>
      <c r="X11" s="16"/>
      <c r="Y11">
        <v>26.2</v>
      </c>
      <c r="Z11" s="18"/>
      <c r="AA11">
        <v>27.8</v>
      </c>
    </row>
    <row r="12" spans="1:27" x14ac:dyDescent="0.25">
      <c r="A12">
        <v>12</v>
      </c>
      <c r="B12" t="s">
        <v>53</v>
      </c>
      <c r="E12" s="6" t="s">
        <v>48</v>
      </c>
      <c r="F12" s="7" t="s">
        <v>48</v>
      </c>
      <c r="G12" s="9" t="s">
        <v>48</v>
      </c>
      <c r="H12" s="7" t="s">
        <v>48</v>
      </c>
      <c r="I12" s="8">
        <v>11.2</v>
      </c>
      <c r="J12" s="7">
        <v>11.2</v>
      </c>
      <c r="K12" s="8">
        <v>11.2</v>
      </c>
      <c r="L12" s="15">
        <v>11.2</v>
      </c>
      <c r="M12" t="s">
        <v>48</v>
      </c>
      <c r="N12" s="18" t="s">
        <v>48</v>
      </c>
      <c r="O12" s="20" t="s">
        <v>48</v>
      </c>
      <c r="P12" s="11" t="s">
        <v>48</v>
      </c>
      <c r="Q12" s="13" t="s">
        <v>48</v>
      </c>
      <c r="R12" s="14" t="s">
        <v>48</v>
      </c>
      <c r="S12" s="8" t="s">
        <v>48</v>
      </c>
      <c r="T12" s="7" t="s">
        <v>48</v>
      </c>
      <c r="U12" s="6" t="s">
        <v>48</v>
      </c>
      <c r="V12" s="14" t="s">
        <v>48</v>
      </c>
      <c r="W12" s="10"/>
      <c r="X12" s="16"/>
      <c r="Z12" s="18"/>
      <c r="AA12" t="s">
        <v>48</v>
      </c>
    </row>
    <row r="13" spans="1:27" x14ac:dyDescent="0.25">
      <c r="A13">
        <v>13</v>
      </c>
      <c r="B13" t="s">
        <v>54</v>
      </c>
      <c r="E13" s="6" t="s">
        <v>48</v>
      </c>
      <c r="F13" s="7" t="s">
        <v>48</v>
      </c>
      <c r="G13" s="9" t="s">
        <v>48</v>
      </c>
      <c r="H13" s="7" t="s">
        <v>48</v>
      </c>
      <c r="I13" s="8">
        <v>11.4</v>
      </c>
      <c r="J13" s="7">
        <v>11.4</v>
      </c>
      <c r="K13" s="8">
        <v>11.4</v>
      </c>
      <c r="L13" s="15">
        <v>11.4</v>
      </c>
      <c r="M13" t="s">
        <v>48</v>
      </c>
      <c r="N13" s="18" t="s">
        <v>48</v>
      </c>
      <c r="O13" s="20" t="s">
        <v>48</v>
      </c>
      <c r="P13" s="11" t="s">
        <v>48</v>
      </c>
      <c r="Q13" s="13" t="s">
        <v>48</v>
      </c>
      <c r="R13" s="14" t="s">
        <v>48</v>
      </c>
      <c r="S13" s="8" t="s">
        <v>48</v>
      </c>
      <c r="T13" s="7" t="s">
        <v>48</v>
      </c>
      <c r="U13" s="6" t="s">
        <v>48</v>
      </c>
      <c r="V13" s="14" t="s">
        <v>48</v>
      </c>
      <c r="W13" s="10"/>
      <c r="X13" s="16"/>
      <c r="Z13" s="18"/>
      <c r="AA13" t="s">
        <v>48</v>
      </c>
    </row>
    <row r="14" spans="1:27" x14ac:dyDescent="0.25">
      <c r="A14">
        <v>14</v>
      </c>
      <c r="B14" t="s">
        <v>49</v>
      </c>
      <c r="E14" s="6">
        <v>12</v>
      </c>
      <c r="F14" s="7">
        <v>12</v>
      </c>
      <c r="G14" s="9" t="s">
        <v>48</v>
      </c>
      <c r="H14" s="7">
        <v>12</v>
      </c>
      <c r="I14" s="8">
        <v>12</v>
      </c>
      <c r="J14" s="7">
        <v>12</v>
      </c>
      <c r="K14" s="8">
        <v>12</v>
      </c>
      <c r="L14" s="15">
        <v>12</v>
      </c>
      <c r="M14" s="6">
        <v>11.3</v>
      </c>
      <c r="N14" s="17">
        <v>11.3</v>
      </c>
      <c r="O14" s="19">
        <v>13.7</v>
      </c>
      <c r="P14" s="7">
        <v>13.7</v>
      </c>
      <c r="Q14" s="28">
        <v>13.7</v>
      </c>
      <c r="R14" s="14">
        <v>13.7</v>
      </c>
      <c r="S14" s="8" t="s">
        <v>48</v>
      </c>
      <c r="T14" s="7">
        <v>13.7</v>
      </c>
      <c r="U14" s="6" t="s">
        <v>48</v>
      </c>
      <c r="V14" s="14">
        <v>13.7</v>
      </c>
      <c r="W14" s="10"/>
      <c r="X14" s="16"/>
      <c r="Z14" s="18"/>
      <c r="AA14">
        <v>15.5</v>
      </c>
    </row>
    <row r="15" spans="1:27" x14ac:dyDescent="0.25">
      <c r="A15">
        <v>15</v>
      </c>
      <c r="B15" t="s">
        <v>50</v>
      </c>
      <c r="E15" s="6">
        <v>12.2</v>
      </c>
      <c r="F15" s="7">
        <v>12.2</v>
      </c>
      <c r="G15" s="9" t="s">
        <v>48</v>
      </c>
      <c r="H15" s="7">
        <v>12.2</v>
      </c>
      <c r="I15" s="8">
        <v>12.2</v>
      </c>
      <c r="J15" s="7">
        <v>12.2</v>
      </c>
      <c r="K15" s="8">
        <v>12.2</v>
      </c>
      <c r="L15" s="15">
        <v>12.2</v>
      </c>
      <c r="M15" s="6">
        <v>12.8</v>
      </c>
      <c r="N15" s="17">
        <v>12.8</v>
      </c>
      <c r="O15" s="19">
        <v>13.9</v>
      </c>
      <c r="P15" s="7">
        <v>13.9</v>
      </c>
      <c r="Q15" s="28">
        <v>13.9</v>
      </c>
      <c r="R15" s="14">
        <v>13.9</v>
      </c>
      <c r="S15" s="8" t="s">
        <v>48</v>
      </c>
      <c r="T15" s="7">
        <v>13.9</v>
      </c>
      <c r="U15" s="6" t="s">
        <v>48</v>
      </c>
      <c r="V15" s="14">
        <v>13.9</v>
      </c>
      <c r="W15" s="10"/>
      <c r="X15" s="16"/>
      <c r="Z15" s="18"/>
      <c r="AA15">
        <v>15.5</v>
      </c>
    </row>
    <row r="16" spans="1:27" x14ac:dyDescent="0.25">
      <c r="A16">
        <v>16</v>
      </c>
      <c r="B16" t="s">
        <v>55</v>
      </c>
      <c r="E16" s="6"/>
      <c r="F16" s="7"/>
      <c r="G16" s="10"/>
      <c r="H16" s="11"/>
      <c r="I16" s="8">
        <v>12</v>
      </c>
      <c r="J16" s="7">
        <v>12</v>
      </c>
      <c r="K16" s="8">
        <v>18.100000000000001</v>
      </c>
      <c r="L16" s="15">
        <v>18.100000000000001</v>
      </c>
      <c r="N16" s="18"/>
      <c r="O16" s="19">
        <v>13.7</v>
      </c>
      <c r="P16" s="7">
        <v>13.7</v>
      </c>
      <c r="Q16" s="13">
        <v>19.8</v>
      </c>
      <c r="R16" s="14">
        <v>19.8</v>
      </c>
      <c r="S16" s="8" t="s">
        <v>48</v>
      </c>
      <c r="T16" s="7">
        <v>13.7</v>
      </c>
      <c r="U16" s="6" t="s">
        <v>48</v>
      </c>
      <c r="V16" s="14">
        <v>19.8</v>
      </c>
      <c r="W16" s="10"/>
      <c r="X16" s="16"/>
      <c r="Z16" s="18"/>
    </row>
    <row r="17" spans="1:26" x14ac:dyDescent="0.25">
      <c r="A17">
        <v>17</v>
      </c>
      <c r="B17" t="s">
        <v>56</v>
      </c>
      <c r="E17" s="6"/>
      <c r="F17" s="7"/>
      <c r="G17" s="10"/>
      <c r="H17" s="11"/>
      <c r="I17" s="8">
        <v>12.2</v>
      </c>
      <c r="J17" s="7">
        <v>12.2</v>
      </c>
      <c r="K17" s="8">
        <v>18.3</v>
      </c>
      <c r="L17" s="15">
        <v>18.3</v>
      </c>
      <c r="N17" s="18"/>
      <c r="O17" s="19">
        <v>13.9</v>
      </c>
      <c r="P17" s="7">
        <v>13.9</v>
      </c>
      <c r="Q17" s="13">
        <v>20</v>
      </c>
      <c r="R17" s="14">
        <v>20</v>
      </c>
      <c r="S17" s="8" t="s">
        <v>48</v>
      </c>
      <c r="T17" s="7">
        <v>13.9</v>
      </c>
      <c r="U17" s="6" t="s">
        <v>48</v>
      </c>
      <c r="V17" s="14">
        <v>20</v>
      </c>
      <c r="W17" s="10"/>
      <c r="X17" s="16"/>
      <c r="Z17" s="18"/>
    </row>
    <row r="18" spans="1:26" x14ac:dyDescent="0.25">
      <c r="A18">
        <v>18</v>
      </c>
      <c r="B18" t="s">
        <v>51</v>
      </c>
      <c r="E18" s="6"/>
      <c r="F18" s="7"/>
      <c r="G18" s="10"/>
      <c r="H18" s="11"/>
      <c r="I18" s="13"/>
      <c r="J18" s="14"/>
      <c r="K18" s="8">
        <v>14.8</v>
      </c>
      <c r="L18" s="15">
        <v>13.6</v>
      </c>
      <c r="N18" s="18"/>
      <c r="O18" s="20"/>
      <c r="P18" s="11"/>
      <c r="Q18" s="10">
        <v>13.4</v>
      </c>
      <c r="R18" s="11">
        <v>13.4</v>
      </c>
      <c r="S18" s="10"/>
      <c r="T18" s="11"/>
      <c r="V18" s="14">
        <v>9</v>
      </c>
      <c r="W18" s="10"/>
      <c r="X18" s="16"/>
      <c r="Z18" s="18"/>
    </row>
    <row r="19" spans="1:26" x14ac:dyDescent="0.25">
      <c r="I19" s="2"/>
      <c r="J19" s="2"/>
    </row>
    <row r="20" spans="1:26" x14ac:dyDescent="0.25">
      <c r="I20" s="2"/>
      <c r="J20" s="2"/>
    </row>
    <row r="21" spans="1:26" x14ac:dyDescent="0.25">
      <c r="I21" s="5" t="s">
        <v>86</v>
      </c>
    </row>
    <row r="24" spans="1:26" x14ac:dyDescent="0.25">
      <c r="B24" t="s">
        <v>1102</v>
      </c>
      <c r="C24" t="s">
        <v>1101</v>
      </c>
    </row>
    <row r="25" spans="1:26" x14ac:dyDescent="0.25">
      <c r="A25">
        <v>25</v>
      </c>
      <c r="C25" t="s">
        <v>1076</v>
      </c>
      <c r="D25">
        <v>1</v>
      </c>
      <c r="E25">
        <v>1</v>
      </c>
      <c r="F25">
        <v>0</v>
      </c>
      <c r="G25">
        <v>0</v>
      </c>
      <c r="H25">
        <v>3</v>
      </c>
      <c r="I25">
        <v>0</v>
      </c>
      <c r="J25">
        <v>0</v>
      </c>
      <c r="K25">
        <v>1</v>
      </c>
      <c r="L25">
        <v>0</v>
      </c>
      <c r="M25">
        <v>2</v>
      </c>
      <c r="N25">
        <v>1</v>
      </c>
      <c r="O25">
        <v>1</v>
      </c>
      <c r="P25">
        <v>0</v>
      </c>
    </row>
    <row r="26" spans="1:26" x14ac:dyDescent="0.25">
      <c r="A26">
        <v>26</v>
      </c>
      <c r="C26" t="s">
        <v>1077</v>
      </c>
      <c r="D26">
        <v>2</v>
      </c>
      <c r="E26">
        <v>2</v>
      </c>
      <c r="F26">
        <v>0</v>
      </c>
      <c r="G26">
        <v>1</v>
      </c>
      <c r="H26">
        <v>0</v>
      </c>
      <c r="I26">
        <v>0</v>
      </c>
      <c r="J26">
        <v>1</v>
      </c>
      <c r="K26">
        <v>2</v>
      </c>
      <c r="L26">
        <v>1</v>
      </c>
      <c r="M26">
        <v>2</v>
      </c>
      <c r="N26">
        <v>2</v>
      </c>
      <c r="O26">
        <v>1</v>
      </c>
      <c r="P26">
        <v>1</v>
      </c>
    </row>
    <row r="27" spans="1:26" x14ac:dyDescent="0.25">
      <c r="A27">
        <v>27</v>
      </c>
      <c r="C27" t="s">
        <v>1078</v>
      </c>
      <c r="D27">
        <v>3</v>
      </c>
      <c r="E27">
        <v>0</v>
      </c>
      <c r="F27">
        <v>0</v>
      </c>
      <c r="G27">
        <v>1</v>
      </c>
      <c r="H27">
        <v>1</v>
      </c>
      <c r="I27">
        <v>0</v>
      </c>
      <c r="J27">
        <v>1</v>
      </c>
      <c r="K27">
        <v>0</v>
      </c>
      <c r="L27">
        <v>2</v>
      </c>
      <c r="M27">
        <v>1</v>
      </c>
      <c r="N27">
        <v>2</v>
      </c>
      <c r="O27">
        <v>2</v>
      </c>
      <c r="P27">
        <v>1</v>
      </c>
    </row>
    <row r="28" spans="1:26" x14ac:dyDescent="0.25">
      <c r="A28">
        <v>28</v>
      </c>
      <c r="C28" t="s">
        <v>1079</v>
      </c>
      <c r="D28">
        <v>0</v>
      </c>
      <c r="E28">
        <v>1</v>
      </c>
      <c r="F28">
        <v>0</v>
      </c>
      <c r="G28">
        <v>2</v>
      </c>
      <c r="H28">
        <v>2</v>
      </c>
      <c r="I28">
        <v>1</v>
      </c>
      <c r="J28">
        <v>2</v>
      </c>
      <c r="K28">
        <v>1</v>
      </c>
      <c r="L28">
        <v>3</v>
      </c>
      <c r="M28">
        <v>0</v>
      </c>
      <c r="N28">
        <v>2</v>
      </c>
      <c r="O28">
        <v>2</v>
      </c>
      <c r="P28">
        <v>2</v>
      </c>
    </row>
    <row r="29" spans="1:26" x14ac:dyDescent="0.25">
      <c r="A29">
        <v>29</v>
      </c>
      <c r="C29" t="s">
        <v>1080</v>
      </c>
      <c r="D29">
        <v>1</v>
      </c>
      <c r="E29">
        <v>2</v>
      </c>
      <c r="F29">
        <v>1</v>
      </c>
      <c r="G29">
        <v>2</v>
      </c>
      <c r="H29">
        <v>3</v>
      </c>
      <c r="I29">
        <v>1</v>
      </c>
      <c r="J29">
        <v>0</v>
      </c>
      <c r="K29">
        <v>2</v>
      </c>
      <c r="L29">
        <v>0</v>
      </c>
      <c r="M29">
        <v>0</v>
      </c>
      <c r="N29">
        <v>1</v>
      </c>
      <c r="O29">
        <v>2</v>
      </c>
      <c r="P29">
        <v>2</v>
      </c>
    </row>
    <row r="30" spans="1:26" x14ac:dyDescent="0.25">
      <c r="A30">
        <v>30</v>
      </c>
      <c r="C30" t="s">
        <v>1081</v>
      </c>
      <c r="D30">
        <v>2</v>
      </c>
      <c r="E30">
        <v>3</v>
      </c>
      <c r="F30">
        <v>1</v>
      </c>
      <c r="G30">
        <v>2</v>
      </c>
      <c r="H30">
        <v>0</v>
      </c>
      <c r="I30">
        <v>2</v>
      </c>
      <c r="J30">
        <v>1</v>
      </c>
      <c r="K30">
        <v>3</v>
      </c>
      <c r="L30">
        <v>1</v>
      </c>
      <c r="M30">
        <v>0</v>
      </c>
      <c r="N30">
        <v>0</v>
      </c>
      <c r="O30">
        <v>1</v>
      </c>
      <c r="P30">
        <v>2</v>
      </c>
    </row>
    <row r="31" spans="1:26" x14ac:dyDescent="0.25">
      <c r="A31">
        <v>31</v>
      </c>
      <c r="C31" t="s">
        <v>1082</v>
      </c>
      <c r="D31">
        <v>3</v>
      </c>
      <c r="E31">
        <v>0</v>
      </c>
      <c r="F31">
        <v>2</v>
      </c>
      <c r="G31">
        <v>1</v>
      </c>
      <c r="H31">
        <v>1</v>
      </c>
      <c r="I31">
        <v>0</v>
      </c>
      <c r="J31">
        <v>2</v>
      </c>
      <c r="K31">
        <v>0</v>
      </c>
      <c r="L31">
        <v>2</v>
      </c>
      <c r="M31">
        <v>0</v>
      </c>
      <c r="N31">
        <v>0</v>
      </c>
      <c r="O31">
        <v>0</v>
      </c>
      <c r="P31">
        <v>1</v>
      </c>
    </row>
    <row r="32" spans="1:26" x14ac:dyDescent="0.25">
      <c r="A32">
        <v>32</v>
      </c>
      <c r="C32" t="s">
        <v>1083</v>
      </c>
      <c r="D32">
        <v>0</v>
      </c>
      <c r="E32">
        <v>1</v>
      </c>
      <c r="F32">
        <v>0</v>
      </c>
      <c r="G32">
        <v>0</v>
      </c>
      <c r="H32">
        <v>1</v>
      </c>
      <c r="I32">
        <v>1</v>
      </c>
      <c r="J32">
        <v>3</v>
      </c>
      <c r="K32">
        <v>1</v>
      </c>
      <c r="L32">
        <v>3</v>
      </c>
      <c r="M32">
        <v>1</v>
      </c>
      <c r="N32">
        <v>0</v>
      </c>
      <c r="O32">
        <v>0</v>
      </c>
      <c r="P32">
        <v>0</v>
      </c>
    </row>
    <row r="33" spans="1:16" x14ac:dyDescent="0.25">
      <c r="A33">
        <v>33</v>
      </c>
      <c r="C33" t="s">
        <v>1084</v>
      </c>
      <c r="D33">
        <v>1</v>
      </c>
      <c r="E33">
        <v>2</v>
      </c>
      <c r="F33">
        <v>1</v>
      </c>
      <c r="G33">
        <v>0</v>
      </c>
      <c r="H33">
        <v>2</v>
      </c>
      <c r="I33">
        <v>2</v>
      </c>
      <c r="J33">
        <v>0</v>
      </c>
      <c r="K33">
        <v>2</v>
      </c>
      <c r="L33">
        <v>0</v>
      </c>
      <c r="M33">
        <v>1</v>
      </c>
      <c r="N33">
        <v>0</v>
      </c>
      <c r="O33">
        <v>0</v>
      </c>
      <c r="P33">
        <v>0</v>
      </c>
    </row>
    <row r="34" spans="1:16" x14ac:dyDescent="0.25">
      <c r="A34">
        <v>34</v>
      </c>
      <c r="C34" t="s">
        <v>1085</v>
      </c>
      <c r="D34">
        <v>1</v>
      </c>
      <c r="E34">
        <v>3</v>
      </c>
      <c r="F34">
        <v>2</v>
      </c>
      <c r="G34">
        <v>0</v>
      </c>
      <c r="H34">
        <v>2</v>
      </c>
      <c r="I34">
        <v>3</v>
      </c>
      <c r="J34">
        <v>1</v>
      </c>
      <c r="K34">
        <v>3</v>
      </c>
      <c r="L34">
        <v>1</v>
      </c>
      <c r="M34">
        <v>2</v>
      </c>
      <c r="N34">
        <v>1</v>
      </c>
      <c r="O34">
        <v>0</v>
      </c>
      <c r="P34">
        <v>0</v>
      </c>
    </row>
    <row r="35" spans="1:16" x14ac:dyDescent="0.25">
      <c r="A35">
        <v>35</v>
      </c>
      <c r="C35" t="s">
        <v>1086</v>
      </c>
      <c r="D35">
        <v>2</v>
      </c>
      <c r="E35">
        <v>0</v>
      </c>
      <c r="F35">
        <v>3</v>
      </c>
      <c r="G35">
        <v>0</v>
      </c>
      <c r="H35">
        <v>2</v>
      </c>
      <c r="I35">
        <v>0</v>
      </c>
      <c r="J35">
        <v>2</v>
      </c>
      <c r="K35">
        <v>0</v>
      </c>
      <c r="L35">
        <v>1</v>
      </c>
      <c r="M35">
        <v>0</v>
      </c>
      <c r="N35">
        <v>1</v>
      </c>
      <c r="O35">
        <v>1</v>
      </c>
      <c r="P35">
        <v>0</v>
      </c>
    </row>
    <row r="36" spans="1:16" x14ac:dyDescent="0.25">
      <c r="A36">
        <v>36</v>
      </c>
      <c r="C36" t="s">
        <v>1087</v>
      </c>
      <c r="D36">
        <v>2</v>
      </c>
      <c r="E36">
        <v>1</v>
      </c>
      <c r="F36">
        <v>0</v>
      </c>
      <c r="G36">
        <v>1</v>
      </c>
      <c r="H36">
        <v>1</v>
      </c>
      <c r="I36">
        <v>1</v>
      </c>
      <c r="J36">
        <v>3</v>
      </c>
      <c r="K36">
        <v>1</v>
      </c>
      <c r="L36">
        <v>2</v>
      </c>
      <c r="M36">
        <v>1</v>
      </c>
      <c r="N36">
        <v>2</v>
      </c>
      <c r="O36">
        <v>1</v>
      </c>
      <c r="P36">
        <v>1</v>
      </c>
    </row>
    <row r="37" spans="1:16" x14ac:dyDescent="0.25">
      <c r="A37">
        <v>37</v>
      </c>
      <c r="C37" t="s">
        <v>1088</v>
      </c>
      <c r="D37">
        <v>2</v>
      </c>
      <c r="E37">
        <v>1</v>
      </c>
      <c r="F37">
        <v>1</v>
      </c>
      <c r="G37">
        <v>1</v>
      </c>
      <c r="H37">
        <v>0</v>
      </c>
      <c r="I37">
        <v>2</v>
      </c>
      <c r="J37">
        <v>0</v>
      </c>
      <c r="K37">
        <v>1</v>
      </c>
      <c r="L37">
        <v>2</v>
      </c>
      <c r="M37">
        <v>2</v>
      </c>
      <c r="N37">
        <v>0</v>
      </c>
      <c r="O37">
        <v>2</v>
      </c>
      <c r="P37">
        <v>1</v>
      </c>
    </row>
    <row r="38" spans="1:16" x14ac:dyDescent="0.25">
      <c r="A38">
        <v>38</v>
      </c>
      <c r="C38" t="s">
        <v>1089</v>
      </c>
      <c r="D38">
        <v>1</v>
      </c>
      <c r="E38">
        <v>2</v>
      </c>
      <c r="F38">
        <v>2</v>
      </c>
      <c r="G38">
        <v>2</v>
      </c>
      <c r="H38">
        <v>0</v>
      </c>
      <c r="I38">
        <v>3</v>
      </c>
      <c r="J38">
        <v>1</v>
      </c>
      <c r="K38">
        <v>2</v>
      </c>
      <c r="L38">
        <v>2</v>
      </c>
      <c r="M38">
        <v>3</v>
      </c>
      <c r="N38">
        <v>1</v>
      </c>
      <c r="O38">
        <v>0</v>
      </c>
      <c r="P38">
        <v>2</v>
      </c>
    </row>
    <row r="39" spans="1:16" x14ac:dyDescent="0.25">
      <c r="A39">
        <v>39</v>
      </c>
      <c r="C39" t="s">
        <v>1090</v>
      </c>
      <c r="D39">
        <v>0</v>
      </c>
      <c r="E39">
        <v>2</v>
      </c>
      <c r="F39">
        <v>3</v>
      </c>
      <c r="G39">
        <v>0</v>
      </c>
      <c r="H39">
        <v>0</v>
      </c>
      <c r="I39">
        <v>0</v>
      </c>
      <c r="J39">
        <v>1</v>
      </c>
      <c r="K39">
        <v>2</v>
      </c>
      <c r="L39">
        <v>1</v>
      </c>
      <c r="M39">
        <v>0</v>
      </c>
      <c r="N39">
        <v>2</v>
      </c>
      <c r="O39">
        <v>1</v>
      </c>
      <c r="P39">
        <v>0</v>
      </c>
    </row>
    <row r="40" spans="1:16" x14ac:dyDescent="0.25">
      <c r="A40">
        <v>40</v>
      </c>
      <c r="C40" t="s">
        <v>1091</v>
      </c>
      <c r="D40">
        <v>0</v>
      </c>
      <c r="E40">
        <v>2</v>
      </c>
      <c r="F40">
        <v>0</v>
      </c>
      <c r="G40">
        <v>1</v>
      </c>
      <c r="H40">
        <v>0</v>
      </c>
      <c r="I40">
        <v>1</v>
      </c>
      <c r="J40">
        <v>2</v>
      </c>
      <c r="K40">
        <v>2</v>
      </c>
      <c r="L40">
        <v>0</v>
      </c>
      <c r="M40">
        <v>1</v>
      </c>
      <c r="N40">
        <v>3</v>
      </c>
      <c r="O40">
        <v>2</v>
      </c>
      <c r="P40">
        <v>1</v>
      </c>
    </row>
    <row r="41" spans="1:16" x14ac:dyDescent="0.25">
      <c r="A41">
        <v>41</v>
      </c>
      <c r="C41" t="s">
        <v>1092</v>
      </c>
      <c r="D41">
        <v>0</v>
      </c>
      <c r="E41">
        <v>1</v>
      </c>
      <c r="F41">
        <v>1</v>
      </c>
      <c r="G41">
        <v>2</v>
      </c>
      <c r="H41">
        <v>1</v>
      </c>
      <c r="I41">
        <v>1</v>
      </c>
      <c r="J41">
        <v>2</v>
      </c>
      <c r="K41">
        <v>1</v>
      </c>
      <c r="L41">
        <v>0</v>
      </c>
      <c r="M41">
        <v>2</v>
      </c>
      <c r="N41">
        <v>0</v>
      </c>
      <c r="O41">
        <v>3</v>
      </c>
      <c r="P41">
        <v>2</v>
      </c>
    </row>
    <row r="42" spans="1:16" x14ac:dyDescent="0.25">
      <c r="A42">
        <v>42</v>
      </c>
      <c r="C42" t="s">
        <v>1093</v>
      </c>
      <c r="D42">
        <v>0</v>
      </c>
      <c r="E42">
        <v>0</v>
      </c>
      <c r="F42">
        <v>1</v>
      </c>
      <c r="G42">
        <v>3</v>
      </c>
      <c r="H42">
        <v>1</v>
      </c>
      <c r="I42">
        <v>2</v>
      </c>
      <c r="J42">
        <v>2</v>
      </c>
      <c r="K42">
        <v>0</v>
      </c>
      <c r="L42">
        <v>0</v>
      </c>
      <c r="M42">
        <v>3</v>
      </c>
      <c r="N42">
        <v>1</v>
      </c>
      <c r="O42">
        <v>0</v>
      </c>
      <c r="P42">
        <v>3</v>
      </c>
    </row>
    <row r="43" spans="1:16" x14ac:dyDescent="0.25">
      <c r="A43">
        <v>43</v>
      </c>
      <c r="C43" t="s">
        <v>1094</v>
      </c>
      <c r="D43">
        <v>1</v>
      </c>
      <c r="E43">
        <v>0</v>
      </c>
      <c r="F43">
        <v>2</v>
      </c>
      <c r="G43">
        <v>0</v>
      </c>
      <c r="H43">
        <v>2</v>
      </c>
      <c r="I43">
        <v>2</v>
      </c>
      <c r="J43">
        <v>1</v>
      </c>
      <c r="K43">
        <v>0</v>
      </c>
      <c r="L43">
        <v>0</v>
      </c>
      <c r="M43">
        <v>0</v>
      </c>
      <c r="N43">
        <v>2</v>
      </c>
      <c r="O43">
        <v>1</v>
      </c>
      <c r="P43">
        <v>0</v>
      </c>
    </row>
    <row r="44" spans="1:16" x14ac:dyDescent="0.25">
      <c r="A44">
        <v>44</v>
      </c>
      <c r="C44" t="s">
        <v>1095</v>
      </c>
      <c r="D44">
        <v>1</v>
      </c>
      <c r="E44">
        <v>0</v>
      </c>
      <c r="F44">
        <v>2</v>
      </c>
      <c r="G44">
        <v>1</v>
      </c>
      <c r="H44">
        <v>0</v>
      </c>
      <c r="I44">
        <v>2</v>
      </c>
      <c r="J44">
        <v>0</v>
      </c>
      <c r="K44">
        <v>0</v>
      </c>
      <c r="L44">
        <v>1</v>
      </c>
      <c r="M44">
        <v>1</v>
      </c>
      <c r="N44">
        <v>3</v>
      </c>
      <c r="O44">
        <v>2</v>
      </c>
      <c r="P44">
        <v>1</v>
      </c>
    </row>
    <row r="45" spans="1:16" x14ac:dyDescent="0.25">
      <c r="A45">
        <v>45</v>
      </c>
      <c r="C45" t="s">
        <v>1096</v>
      </c>
      <c r="D45">
        <v>2</v>
      </c>
      <c r="E45">
        <v>0</v>
      </c>
      <c r="F45">
        <v>2</v>
      </c>
      <c r="G45">
        <v>2</v>
      </c>
      <c r="H45">
        <v>1</v>
      </c>
      <c r="I45">
        <v>1</v>
      </c>
      <c r="J45">
        <v>0</v>
      </c>
      <c r="K45">
        <v>0</v>
      </c>
      <c r="L45">
        <v>1</v>
      </c>
      <c r="M45">
        <v>1</v>
      </c>
      <c r="N45">
        <v>0</v>
      </c>
      <c r="O45">
        <v>3</v>
      </c>
      <c r="P45">
        <v>2</v>
      </c>
    </row>
    <row r="46" spans="1:16" x14ac:dyDescent="0.25">
      <c r="A46">
        <v>46</v>
      </c>
      <c r="C46" t="s">
        <v>1097</v>
      </c>
      <c r="D46">
        <v>0</v>
      </c>
      <c r="E46">
        <v>1</v>
      </c>
      <c r="F46">
        <v>1</v>
      </c>
      <c r="G46">
        <v>3</v>
      </c>
      <c r="H46">
        <v>2</v>
      </c>
      <c r="I46">
        <v>0</v>
      </c>
      <c r="J46">
        <v>0</v>
      </c>
      <c r="K46">
        <v>1</v>
      </c>
      <c r="L46">
        <v>2</v>
      </c>
      <c r="M46">
        <v>2</v>
      </c>
      <c r="N46">
        <v>1</v>
      </c>
      <c r="O46">
        <v>0</v>
      </c>
      <c r="P46">
        <v>3</v>
      </c>
    </row>
  </sheetData>
  <mergeCells count="17">
    <mergeCell ref="U4:V4"/>
    <mergeCell ref="Y4:Z4"/>
    <mergeCell ref="S4:T4"/>
    <mergeCell ref="W4:X4"/>
    <mergeCell ref="E2:N2"/>
    <mergeCell ref="I4:J4"/>
    <mergeCell ref="O2:Z2"/>
    <mergeCell ref="O3:X3"/>
    <mergeCell ref="O4:P4"/>
    <mergeCell ref="E3:L3"/>
    <mergeCell ref="M3:N3"/>
    <mergeCell ref="Y3:Z3"/>
    <mergeCell ref="E4:F4"/>
    <mergeCell ref="G4:H4"/>
    <mergeCell ref="K4:L4"/>
    <mergeCell ref="M4:N4"/>
    <mergeCell ref="Q4:R4"/>
  </mergeCells>
  <phoneticPr fontId="21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D862470D-35EF-4870-A565-E57FEC1735DD}">
            <xm:f>'Cálculos de medidas'!$C$2</xm:f>
            <x14:dxf>
              <fill>
                <patternFill>
                  <bgColor theme="9" tint="0.59996337778862885"/>
                </patternFill>
              </fill>
            </x14:dxf>
          </x14:cfRule>
          <xm:sqref>E1:AA1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96C4-9014-4729-BC34-33597AB4E82D}">
  <dimension ref="A1:C103"/>
  <sheetViews>
    <sheetView workbookViewId="0">
      <selection activeCell="C81" sqref="C81"/>
    </sheetView>
  </sheetViews>
  <sheetFormatPr baseColWidth="10" defaultRowHeight="15" x14ac:dyDescent="0.25"/>
  <cols>
    <col min="1" max="1" width="14.42578125" customWidth="1"/>
    <col min="2" max="2" width="22.85546875" customWidth="1"/>
  </cols>
  <sheetData>
    <row r="1" spans="1:3" x14ac:dyDescent="0.25">
      <c r="A1" t="s">
        <v>1098</v>
      </c>
      <c r="B1" t="s">
        <v>1099</v>
      </c>
      <c r="C1" t="s">
        <v>1100</v>
      </c>
    </row>
    <row r="2" spans="1:3" x14ac:dyDescent="0.25">
      <c r="A2">
        <f>Datos!$C$19</f>
        <v>0</v>
      </c>
      <c r="B2" t="e">
        <f>INDEX('M TELAS'!A:A,MATCH(Datos!C8,'M TELAS'!B:B,0))</f>
        <v>#N/A</v>
      </c>
      <c r="C2">
        <f>IFERROR('Medidas Toldo 1'!G9,0)</f>
        <v>0</v>
      </c>
    </row>
    <row r="3" spans="1:3" x14ac:dyDescent="0.25">
      <c r="A3">
        <f>Datos!$C$19</f>
        <v>0</v>
      </c>
    </row>
    <row r="4" spans="1:3" x14ac:dyDescent="0.25">
      <c r="A4">
        <f>Datos!$C$19</f>
        <v>0</v>
      </c>
      <c r="B4" t="s">
        <v>1076</v>
      </c>
      <c r="C4">
        <f>IF(A4&lt;&gt;0,HLOOKUP('Cálculos de medidas'!$C$2,Descontos!$E$1:$AA$47,Descontos!A25),0)</f>
        <v>0</v>
      </c>
    </row>
    <row r="5" spans="1:3" x14ac:dyDescent="0.25">
      <c r="A5">
        <f>Datos!$C$19</f>
        <v>0</v>
      </c>
      <c r="B5" t="s">
        <v>1077</v>
      </c>
      <c r="C5">
        <f>IF(A5&lt;&gt;0,HLOOKUP('Cálculos de medidas'!$C$2,Descontos!$E$1:$AA$47,Descontos!A26),0)</f>
        <v>0</v>
      </c>
    </row>
    <row r="6" spans="1:3" x14ac:dyDescent="0.25">
      <c r="A6">
        <f>Datos!$C$19</f>
        <v>0</v>
      </c>
      <c r="B6" t="s">
        <v>1078</v>
      </c>
      <c r="C6">
        <f>IF(A6&lt;&gt;0,HLOOKUP('Cálculos de medidas'!$C$2,Descontos!$E$1:$AA$47,Descontos!A27),0)</f>
        <v>0</v>
      </c>
    </row>
    <row r="7" spans="1:3" x14ac:dyDescent="0.25">
      <c r="A7">
        <f>Datos!$C$19</f>
        <v>0</v>
      </c>
      <c r="B7" t="s">
        <v>1079</v>
      </c>
      <c r="C7">
        <f>IF(A7&lt;&gt;0,HLOOKUP('Cálculos de medidas'!$C$2,Descontos!$E$1:$AA$47,Descontos!A28),0)</f>
        <v>0</v>
      </c>
    </row>
    <row r="8" spans="1:3" x14ac:dyDescent="0.25">
      <c r="A8">
        <f>Datos!$C$19</f>
        <v>0</v>
      </c>
      <c r="B8" t="s">
        <v>1080</v>
      </c>
      <c r="C8">
        <f>IF(A8&lt;&gt;0,HLOOKUP('Cálculos de medidas'!$C$2,Descontos!$E$1:$AA$47,Descontos!A29),0)</f>
        <v>0</v>
      </c>
    </row>
    <row r="9" spans="1:3" x14ac:dyDescent="0.25">
      <c r="A9">
        <f>Datos!$C$19</f>
        <v>0</v>
      </c>
      <c r="B9" t="s">
        <v>1081</v>
      </c>
      <c r="C9">
        <f>IF(A9&lt;&gt;0,HLOOKUP('Cálculos de medidas'!$C$2,Descontos!$E$1:$AA$47,Descontos!A30),0)</f>
        <v>0</v>
      </c>
    </row>
    <row r="10" spans="1:3" x14ac:dyDescent="0.25">
      <c r="A10">
        <f>Datos!$C$19</f>
        <v>0</v>
      </c>
      <c r="B10" t="s">
        <v>1082</v>
      </c>
      <c r="C10">
        <f>IF(A10&lt;&gt;0,HLOOKUP('Cálculos de medidas'!$C$2,Descontos!$E$1:$AA$47,Descontos!A31),0)</f>
        <v>0</v>
      </c>
    </row>
    <row r="11" spans="1:3" x14ac:dyDescent="0.25">
      <c r="A11">
        <f>Datos!$C$19</f>
        <v>0</v>
      </c>
      <c r="B11" t="s">
        <v>1083</v>
      </c>
      <c r="C11">
        <f>IF(A11&lt;&gt;0,HLOOKUP('Cálculos de medidas'!$C$2,Descontos!$E$1:$AA$47,Descontos!A32),0)</f>
        <v>0</v>
      </c>
    </row>
    <row r="12" spans="1:3" x14ac:dyDescent="0.25">
      <c r="A12">
        <f>Datos!$C$19</f>
        <v>0</v>
      </c>
      <c r="B12" t="s">
        <v>1084</v>
      </c>
      <c r="C12">
        <f>IF(A12&lt;&gt;0,HLOOKUP('Cálculos de medidas'!$C$2,Descontos!$E$1:$AA$47,Descontos!A33),0)</f>
        <v>0</v>
      </c>
    </row>
    <row r="13" spans="1:3" x14ac:dyDescent="0.25">
      <c r="A13">
        <f>Datos!$C$19</f>
        <v>0</v>
      </c>
      <c r="B13" t="s">
        <v>1085</v>
      </c>
      <c r="C13">
        <f>IF(A13&lt;&gt;0,HLOOKUP('Cálculos de medidas'!$C$2,Descontos!$E$1:$AA$47,Descontos!A34),0)</f>
        <v>0</v>
      </c>
    </row>
    <row r="14" spans="1:3" x14ac:dyDescent="0.25">
      <c r="A14">
        <f>Datos!$C$19</f>
        <v>0</v>
      </c>
      <c r="B14" t="s">
        <v>1086</v>
      </c>
      <c r="C14">
        <f>IF(A14&lt;&gt;0,HLOOKUP('Cálculos de medidas'!$C$2,Descontos!$E$1:$AA$47,Descontos!A35),0)</f>
        <v>0</v>
      </c>
    </row>
    <row r="15" spans="1:3" x14ac:dyDescent="0.25">
      <c r="A15">
        <f>Datos!$C$19</f>
        <v>0</v>
      </c>
      <c r="B15" t="s">
        <v>1087</v>
      </c>
      <c r="C15">
        <f>IF(A15&lt;&gt;0,HLOOKUP('Cálculos de medidas'!$C$2,Descontos!$E$1:$AA$47,Descontos!A36),0)</f>
        <v>0</v>
      </c>
    </row>
    <row r="16" spans="1:3" x14ac:dyDescent="0.25">
      <c r="A16">
        <f>Datos!$C$19</f>
        <v>0</v>
      </c>
      <c r="B16" t="s">
        <v>1088</v>
      </c>
      <c r="C16">
        <f>IF(A16&lt;&gt;0,HLOOKUP('Cálculos de medidas'!$C$2,Descontos!$E$1:$AA$47,Descontos!A37),0)</f>
        <v>0</v>
      </c>
    </row>
    <row r="17" spans="1:3" x14ac:dyDescent="0.25">
      <c r="A17">
        <f>Datos!$C$19</f>
        <v>0</v>
      </c>
      <c r="B17" t="s">
        <v>1089</v>
      </c>
      <c r="C17">
        <f>IF(A17&lt;&gt;0,HLOOKUP('Cálculos de medidas'!$C$2,Descontos!$E$1:$AA$47,Descontos!A38),0)</f>
        <v>0</v>
      </c>
    </row>
    <row r="18" spans="1:3" x14ac:dyDescent="0.25">
      <c r="A18">
        <f>Datos!$C$19</f>
        <v>0</v>
      </c>
      <c r="B18" t="s">
        <v>1090</v>
      </c>
      <c r="C18">
        <f>IF(A18&lt;&gt;0,HLOOKUP('Cálculos de medidas'!$C$2,Descontos!$E$1:$AA$47,Descontos!A39),0)</f>
        <v>0</v>
      </c>
    </row>
    <row r="19" spans="1:3" x14ac:dyDescent="0.25">
      <c r="A19">
        <f>Datos!$C$19</f>
        <v>0</v>
      </c>
      <c r="B19" t="s">
        <v>1091</v>
      </c>
      <c r="C19">
        <f>IF(A19&lt;&gt;0,HLOOKUP('Cálculos de medidas'!$C$2,Descontos!$E$1:$AA$47,Descontos!A40),0)</f>
        <v>0</v>
      </c>
    </row>
    <row r="20" spans="1:3" x14ac:dyDescent="0.25">
      <c r="A20">
        <f>Datos!$C$19</f>
        <v>0</v>
      </c>
      <c r="B20" t="s">
        <v>1092</v>
      </c>
      <c r="C20">
        <f>IF(A20&lt;&gt;0,HLOOKUP('Cálculos de medidas'!$C$2,Descontos!$E$1:$AA$47,Descontos!A41),0)</f>
        <v>0</v>
      </c>
    </row>
    <row r="21" spans="1:3" x14ac:dyDescent="0.25">
      <c r="A21">
        <f>Datos!$C$19</f>
        <v>0</v>
      </c>
      <c r="B21" t="s">
        <v>1093</v>
      </c>
      <c r="C21">
        <f>IF(A21&lt;&gt;0,HLOOKUP('Cálculos de medidas'!$C$2,Descontos!$E$1:$AA$47,Descontos!A42),0)</f>
        <v>0</v>
      </c>
    </row>
    <row r="22" spans="1:3" x14ac:dyDescent="0.25">
      <c r="A22">
        <f>Datos!$C$19</f>
        <v>0</v>
      </c>
      <c r="B22" t="s">
        <v>1094</v>
      </c>
      <c r="C22">
        <f>IF(A22&lt;&gt;0,HLOOKUP('Cálculos de medidas'!$C$2,Descontos!$E$1:$AA$47,Descontos!A43),0)</f>
        <v>0</v>
      </c>
    </row>
    <row r="23" spans="1:3" x14ac:dyDescent="0.25">
      <c r="A23">
        <f>Datos!$C$19</f>
        <v>0</v>
      </c>
      <c r="B23" t="s">
        <v>1095</v>
      </c>
      <c r="C23">
        <f>IF(A23&lt;&gt;0,HLOOKUP('Cálculos de medidas'!$C$2,Descontos!$E$1:$AA$47,Descontos!A44),0)</f>
        <v>0</v>
      </c>
    </row>
    <row r="24" spans="1:3" x14ac:dyDescent="0.25">
      <c r="A24">
        <f>Datos!$C$19</f>
        <v>0</v>
      </c>
      <c r="B24" t="s">
        <v>1096</v>
      </c>
      <c r="C24">
        <f>IF(A24&lt;&gt;0,HLOOKUP('Cálculos de medidas'!$C$2,Descontos!$E$1:$AA$47,Descontos!A45),0)</f>
        <v>0</v>
      </c>
    </row>
    <row r="25" spans="1:3" x14ac:dyDescent="0.25">
      <c r="A25">
        <f>Datos!$C$19</f>
        <v>0</v>
      </c>
      <c r="B25" t="s">
        <v>1097</v>
      </c>
      <c r="C25">
        <f>IF(A25&lt;&gt;0,HLOOKUP('Cálculos de medidas'!$C$2,Descontos!$E$1:$AA$47,Descontos!A46),0)</f>
        <v>0</v>
      </c>
    </row>
    <row r="27" spans="1:3" x14ac:dyDescent="0.25">
      <c r="A27" t="s">
        <v>1098</v>
      </c>
      <c r="B27" t="s">
        <v>1099</v>
      </c>
      <c r="C27" t="s">
        <v>1100</v>
      </c>
    </row>
    <row r="28" spans="1:3" x14ac:dyDescent="0.25">
      <c r="A28">
        <f>Datos!$G$19</f>
        <v>0</v>
      </c>
      <c r="B28" t="e">
        <f>INDEX('M TELAS'!A:A,MATCH(Datos!C8,'M TELAS'!B:B,0))</f>
        <v>#N/A</v>
      </c>
      <c r="C28">
        <f>IFERROR('Medidas Toldo 2'!G9,0)</f>
        <v>0</v>
      </c>
    </row>
    <row r="29" spans="1:3" x14ac:dyDescent="0.25">
      <c r="A29">
        <f>Datos!$G$19</f>
        <v>0</v>
      </c>
    </row>
    <row r="30" spans="1:3" x14ac:dyDescent="0.25">
      <c r="A30">
        <f>Datos!$G$19</f>
        <v>0</v>
      </c>
      <c r="B30" t="s">
        <v>1076</v>
      </c>
      <c r="C30">
        <f>IF(A30&lt;&gt;0,HLOOKUP('Cálculos de medidas'!$C$2,Descontos!$E$1:$AA$47,Descontos!A25),0)</f>
        <v>0</v>
      </c>
    </row>
    <row r="31" spans="1:3" x14ac:dyDescent="0.25">
      <c r="A31">
        <f>Datos!$G$19</f>
        <v>0</v>
      </c>
      <c r="B31" t="s">
        <v>1077</v>
      </c>
      <c r="C31">
        <f>IF(A31&lt;&gt;0,HLOOKUP('Cálculos de medidas'!$C$2,Descontos!$E$1:$AA$47,Descontos!A26),0)</f>
        <v>0</v>
      </c>
    </row>
    <row r="32" spans="1:3" x14ac:dyDescent="0.25">
      <c r="A32">
        <f>Datos!$G$19</f>
        <v>0</v>
      </c>
      <c r="B32" t="s">
        <v>1078</v>
      </c>
      <c r="C32">
        <f>IF(A32&lt;&gt;0,HLOOKUP('Cálculos de medidas'!$C$2,Descontos!$E$1:$AA$47,Descontos!A27),0)</f>
        <v>0</v>
      </c>
    </row>
    <row r="33" spans="1:3" x14ac:dyDescent="0.25">
      <c r="A33">
        <f>Datos!$G$19</f>
        <v>0</v>
      </c>
      <c r="B33" t="s">
        <v>1079</v>
      </c>
      <c r="C33">
        <f>IF(A33&lt;&gt;0,HLOOKUP('Cálculos de medidas'!$C$2,Descontos!$E$1:$AA$47,Descontos!A28),0)</f>
        <v>0</v>
      </c>
    </row>
    <row r="34" spans="1:3" x14ac:dyDescent="0.25">
      <c r="A34">
        <f>Datos!$G$19</f>
        <v>0</v>
      </c>
      <c r="B34" t="s">
        <v>1080</v>
      </c>
      <c r="C34">
        <f>IF(A34&lt;&gt;0,HLOOKUP('Cálculos de medidas'!$C$2,Descontos!$E$1:$AA$47,Descontos!A29),0)</f>
        <v>0</v>
      </c>
    </row>
    <row r="35" spans="1:3" x14ac:dyDescent="0.25">
      <c r="A35">
        <f>Datos!$G$19</f>
        <v>0</v>
      </c>
      <c r="B35" t="s">
        <v>1081</v>
      </c>
      <c r="C35">
        <f>IF(A35&lt;&gt;0,HLOOKUP('Cálculos de medidas'!$C$2,Descontos!$E$1:$AA$47,Descontos!A30),0)</f>
        <v>0</v>
      </c>
    </row>
    <row r="36" spans="1:3" x14ac:dyDescent="0.25">
      <c r="A36">
        <f>Datos!$G$19</f>
        <v>0</v>
      </c>
      <c r="B36" t="s">
        <v>1082</v>
      </c>
      <c r="C36">
        <f>IF(A36&lt;&gt;0,HLOOKUP('Cálculos de medidas'!$C$2,Descontos!$E$1:$AA$47,Descontos!A31),0)</f>
        <v>0</v>
      </c>
    </row>
    <row r="37" spans="1:3" x14ac:dyDescent="0.25">
      <c r="A37">
        <f>Datos!$G$19</f>
        <v>0</v>
      </c>
      <c r="B37" t="s">
        <v>1083</v>
      </c>
      <c r="C37">
        <f>IF(A37&lt;&gt;0,HLOOKUP('Cálculos de medidas'!$C$2,Descontos!$E$1:$AA$47,Descontos!A32),0)</f>
        <v>0</v>
      </c>
    </row>
    <row r="38" spans="1:3" x14ac:dyDescent="0.25">
      <c r="A38">
        <f>Datos!$G$19</f>
        <v>0</v>
      </c>
      <c r="B38" t="s">
        <v>1084</v>
      </c>
      <c r="C38">
        <f>IF(A38&lt;&gt;0,HLOOKUP('Cálculos de medidas'!$C$2,Descontos!$E$1:$AA$47,Descontos!A33),0)</f>
        <v>0</v>
      </c>
    </row>
    <row r="39" spans="1:3" x14ac:dyDescent="0.25">
      <c r="A39">
        <f>Datos!$G$19</f>
        <v>0</v>
      </c>
      <c r="B39" t="s">
        <v>1085</v>
      </c>
      <c r="C39">
        <f>IF(A39&lt;&gt;0,HLOOKUP('Cálculos de medidas'!$C$2,Descontos!$E$1:$AA$47,Descontos!A34),0)</f>
        <v>0</v>
      </c>
    </row>
    <row r="40" spans="1:3" x14ac:dyDescent="0.25">
      <c r="A40">
        <f>Datos!$G$19</f>
        <v>0</v>
      </c>
      <c r="B40" t="s">
        <v>1086</v>
      </c>
      <c r="C40">
        <f>IF(A40&lt;&gt;0,HLOOKUP('Cálculos de medidas'!$C$2,Descontos!$E$1:$AA$47,Descontos!A35),0)</f>
        <v>0</v>
      </c>
    </row>
    <row r="41" spans="1:3" x14ac:dyDescent="0.25">
      <c r="A41">
        <f>Datos!$G$19</f>
        <v>0</v>
      </c>
      <c r="B41" t="s">
        <v>1087</v>
      </c>
      <c r="C41">
        <f>IF(A41&lt;&gt;0,HLOOKUP('Cálculos de medidas'!$C$2,Descontos!$E$1:$AA$47,Descontos!A36),0)</f>
        <v>0</v>
      </c>
    </row>
    <row r="42" spans="1:3" x14ac:dyDescent="0.25">
      <c r="A42">
        <f>Datos!$G$19</f>
        <v>0</v>
      </c>
      <c r="B42" t="s">
        <v>1088</v>
      </c>
      <c r="C42">
        <f>IF(A42&lt;&gt;0,HLOOKUP('Cálculos de medidas'!$C$2,Descontos!$E$1:$AA$47,Descontos!A37),0)</f>
        <v>0</v>
      </c>
    </row>
    <row r="43" spans="1:3" x14ac:dyDescent="0.25">
      <c r="A43">
        <f>Datos!$G$19</f>
        <v>0</v>
      </c>
      <c r="B43" t="s">
        <v>1089</v>
      </c>
      <c r="C43">
        <f>IF(A43&lt;&gt;0,HLOOKUP('Cálculos de medidas'!$C$2,Descontos!$E$1:$AA$47,Descontos!A38),0)</f>
        <v>0</v>
      </c>
    </row>
    <row r="44" spans="1:3" x14ac:dyDescent="0.25">
      <c r="A44">
        <f>Datos!$G$19</f>
        <v>0</v>
      </c>
      <c r="B44" t="s">
        <v>1090</v>
      </c>
      <c r="C44">
        <f>IF(A44&lt;&gt;0,HLOOKUP('Cálculos de medidas'!$C$2,Descontos!$E$1:$AA$47,Descontos!A39),0)</f>
        <v>0</v>
      </c>
    </row>
    <row r="45" spans="1:3" x14ac:dyDescent="0.25">
      <c r="A45">
        <f>Datos!$G$19</f>
        <v>0</v>
      </c>
      <c r="B45" t="s">
        <v>1091</v>
      </c>
      <c r="C45">
        <f>IF(A45&lt;&gt;0,HLOOKUP('Cálculos de medidas'!$C$2,Descontos!$E$1:$AA$47,Descontos!A40),0)</f>
        <v>0</v>
      </c>
    </row>
    <row r="46" spans="1:3" x14ac:dyDescent="0.25">
      <c r="A46">
        <f>Datos!$G$19</f>
        <v>0</v>
      </c>
      <c r="B46" t="s">
        <v>1092</v>
      </c>
      <c r="C46">
        <f>IF(A46&lt;&gt;0,HLOOKUP('Cálculos de medidas'!$C$2,Descontos!$E$1:$AA$47,Descontos!A41),0)</f>
        <v>0</v>
      </c>
    </row>
    <row r="47" spans="1:3" x14ac:dyDescent="0.25">
      <c r="A47">
        <f>Datos!$G$19</f>
        <v>0</v>
      </c>
      <c r="B47" t="s">
        <v>1093</v>
      </c>
      <c r="C47">
        <f>IF(A47&lt;&gt;0,HLOOKUP('Cálculos de medidas'!$C$2,Descontos!$E$1:$AA$47,Descontos!A42),0)</f>
        <v>0</v>
      </c>
    </row>
    <row r="48" spans="1:3" x14ac:dyDescent="0.25">
      <c r="A48">
        <f>Datos!$G$19</f>
        <v>0</v>
      </c>
      <c r="B48" t="s">
        <v>1094</v>
      </c>
      <c r="C48">
        <f>IF(A48&lt;&gt;0,HLOOKUP('Cálculos de medidas'!$C$2,Descontos!$E$1:$AA$47,Descontos!A43),0)</f>
        <v>0</v>
      </c>
    </row>
    <row r="49" spans="1:3" x14ac:dyDescent="0.25">
      <c r="A49">
        <f>Datos!$G$19</f>
        <v>0</v>
      </c>
      <c r="B49" t="s">
        <v>1095</v>
      </c>
      <c r="C49">
        <f>IF(A49&lt;&gt;0,HLOOKUP('Cálculos de medidas'!$C$2,Descontos!$E$1:$AA$47,Descontos!A44),0)</f>
        <v>0</v>
      </c>
    </row>
    <row r="50" spans="1:3" x14ac:dyDescent="0.25">
      <c r="A50">
        <f>Datos!$G$19</f>
        <v>0</v>
      </c>
      <c r="B50" t="s">
        <v>1096</v>
      </c>
      <c r="C50">
        <f>IF(A50&lt;&gt;0,HLOOKUP('Cálculos de medidas'!$C$2,Descontos!$E$1:$AA$47,Descontos!A45),0)</f>
        <v>0</v>
      </c>
    </row>
    <row r="51" spans="1:3" x14ac:dyDescent="0.25">
      <c r="A51">
        <f>Datos!$G$19</f>
        <v>0</v>
      </c>
      <c r="B51" t="s">
        <v>1097</v>
      </c>
      <c r="C51">
        <f>IF(A51&lt;&gt;0,HLOOKUP('Cálculos de medidas'!$C$2,Descontos!$E$1:$AA$47,Descontos!A46),0)</f>
        <v>0</v>
      </c>
    </row>
    <row r="53" spans="1:3" x14ac:dyDescent="0.25">
      <c r="A53" t="s">
        <v>1098</v>
      </c>
      <c r="B53" t="s">
        <v>1099</v>
      </c>
      <c r="C53" t="s">
        <v>1100</v>
      </c>
    </row>
    <row r="54" spans="1:3" x14ac:dyDescent="0.25">
      <c r="A54">
        <f>Datos!$K$19</f>
        <v>0</v>
      </c>
      <c r="B54" t="e">
        <f>INDEX('M TELAS'!A:A,MATCH(Datos!C8,'M TELAS'!B:B,0))</f>
        <v>#N/A</v>
      </c>
      <c r="C54">
        <f>IFERROR('Medidas Toldo 3'!G9,0)</f>
        <v>0</v>
      </c>
    </row>
    <row r="55" spans="1:3" x14ac:dyDescent="0.25">
      <c r="A55">
        <f>Datos!$K$19</f>
        <v>0</v>
      </c>
    </row>
    <row r="56" spans="1:3" x14ac:dyDescent="0.25">
      <c r="A56">
        <f>Datos!$K$19</f>
        <v>0</v>
      </c>
      <c r="B56" t="s">
        <v>1076</v>
      </c>
      <c r="C56">
        <f>IF(A56&lt;&gt;0,HLOOKUP('Cálculos de medidas'!$C$2,Descontos!$E$1:$AA$47,Descontos!A25),0)</f>
        <v>0</v>
      </c>
    </row>
    <row r="57" spans="1:3" x14ac:dyDescent="0.25">
      <c r="A57">
        <f>Datos!$K$19</f>
        <v>0</v>
      </c>
      <c r="B57" t="s">
        <v>1077</v>
      </c>
      <c r="C57">
        <f>IF(A57&lt;&gt;0,HLOOKUP('Cálculos de medidas'!$C$2,Descontos!$E$1:$AA$47,Descontos!A26),0)</f>
        <v>0</v>
      </c>
    </row>
    <row r="58" spans="1:3" x14ac:dyDescent="0.25">
      <c r="A58">
        <f>Datos!$K$19</f>
        <v>0</v>
      </c>
      <c r="B58" t="s">
        <v>1078</v>
      </c>
      <c r="C58">
        <f>IF(A58&lt;&gt;0,HLOOKUP('Cálculos de medidas'!$C$2,Descontos!$E$1:$AA$47,Descontos!A27),0)</f>
        <v>0</v>
      </c>
    </row>
    <row r="59" spans="1:3" x14ac:dyDescent="0.25">
      <c r="A59">
        <f>Datos!$K$19</f>
        <v>0</v>
      </c>
      <c r="B59" t="s">
        <v>1079</v>
      </c>
      <c r="C59">
        <f>IF(A59&lt;&gt;0,HLOOKUP('Cálculos de medidas'!$C$2,Descontos!$E$1:$AA$47,Descontos!A28),0)</f>
        <v>0</v>
      </c>
    </row>
    <row r="60" spans="1:3" x14ac:dyDescent="0.25">
      <c r="A60">
        <f>Datos!$K$19</f>
        <v>0</v>
      </c>
      <c r="B60" t="s">
        <v>1080</v>
      </c>
      <c r="C60">
        <f>IF(A60&lt;&gt;0,HLOOKUP('Cálculos de medidas'!$C$2,Descontos!$E$1:$AA$47,Descontos!A29),0)</f>
        <v>0</v>
      </c>
    </row>
    <row r="61" spans="1:3" x14ac:dyDescent="0.25">
      <c r="A61">
        <f>Datos!$K$19</f>
        <v>0</v>
      </c>
      <c r="B61" t="s">
        <v>1081</v>
      </c>
      <c r="C61">
        <f>IF(A61&lt;&gt;0,HLOOKUP('Cálculos de medidas'!$C$2,Descontos!$E$1:$AA$47,Descontos!A30),0)</f>
        <v>0</v>
      </c>
    </row>
    <row r="62" spans="1:3" x14ac:dyDescent="0.25">
      <c r="A62">
        <f>Datos!$K$19</f>
        <v>0</v>
      </c>
      <c r="B62" t="s">
        <v>1082</v>
      </c>
      <c r="C62">
        <f>IF(A62&lt;&gt;0,HLOOKUP('Cálculos de medidas'!$C$2,Descontos!$E$1:$AA$47,Descontos!A31),0)</f>
        <v>0</v>
      </c>
    </row>
    <row r="63" spans="1:3" x14ac:dyDescent="0.25">
      <c r="A63">
        <f>Datos!$K$19</f>
        <v>0</v>
      </c>
      <c r="B63" t="s">
        <v>1083</v>
      </c>
      <c r="C63">
        <f>IF(A63&lt;&gt;0,HLOOKUP('Cálculos de medidas'!$C$2,Descontos!$E$1:$AA$47,Descontos!A32),0)</f>
        <v>0</v>
      </c>
    </row>
    <row r="64" spans="1:3" x14ac:dyDescent="0.25">
      <c r="A64">
        <f>Datos!$K$19</f>
        <v>0</v>
      </c>
      <c r="B64" t="s">
        <v>1084</v>
      </c>
      <c r="C64">
        <f>IF(A64&lt;&gt;0,HLOOKUP('Cálculos de medidas'!$C$2,Descontos!$E$1:$AA$47,Descontos!A33),0)</f>
        <v>0</v>
      </c>
    </row>
    <row r="65" spans="1:3" x14ac:dyDescent="0.25">
      <c r="A65">
        <f>Datos!$K$19</f>
        <v>0</v>
      </c>
      <c r="B65" t="s">
        <v>1085</v>
      </c>
      <c r="C65">
        <f>IF(A65&lt;&gt;0,HLOOKUP('Cálculos de medidas'!$C$2,Descontos!$E$1:$AA$47,Descontos!A34),0)</f>
        <v>0</v>
      </c>
    </row>
    <row r="66" spans="1:3" x14ac:dyDescent="0.25">
      <c r="A66">
        <f>Datos!$K$19</f>
        <v>0</v>
      </c>
      <c r="B66" t="s">
        <v>1086</v>
      </c>
      <c r="C66">
        <f>IF(A66&lt;&gt;0,HLOOKUP('Cálculos de medidas'!$C$2,Descontos!$E$1:$AA$47,Descontos!A35),0)</f>
        <v>0</v>
      </c>
    </row>
    <row r="67" spans="1:3" x14ac:dyDescent="0.25">
      <c r="A67">
        <f>Datos!$K$19</f>
        <v>0</v>
      </c>
      <c r="B67" t="s">
        <v>1087</v>
      </c>
      <c r="C67">
        <f>IF(A67&lt;&gt;0,HLOOKUP('Cálculos de medidas'!$C$2,Descontos!$E$1:$AA$47,Descontos!A36),0)</f>
        <v>0</v>
      </c>
    </row>
    <row r="68" spans="1:3" x14ac:dyDescent="0.25">
      <c r="A68">
        <f>Datos!$K$19</f>
        <v>0</v>
      </c>
      <c r="B68" t="s">
        <v>1088</v>
      </c>
      <c r="C68">
        <f>IF(A68&lt;&gt;0,HLOOKUP('Cálculos de medidas'!$C$2,Descontos!$E$1:$AA$47,Descontos!A37),0)</f>
        <v>0</v>
      </c>
    </row>
    <row r="69" spans="1:3" x14ac:dyDescent="0.25">
      <c r="A69">
        <f>Datos!$K$19</f>
        <v>0</v>
      </c>
      <c r="B69" t="s">
        <v>1089</v>
      </c>
      <c r="C69">
        <f>IF(A69&lt;&gt;0,HLOOKUP('Cálculos de medidas'!$C$2,Descontos!$E$1:$AA$47,Descontos!A38),0)</f>
        <v>0</v>
      </c>
    </row>
    <row r="70" spans="1:3" x14ac:dyDescent="0.25">
      <c r="A70">
        <f>Datos!$K$19</f>
        <v>0</v>
      </c>
      <c r="B70" t="s">
        <v>1090</v>
      </c>
      <c r="C70">
        <f>IF(A70&lt;&gt;0,HLOOKUP('Cálculos de medidas'!$C$2,Descontos!$E$1:$AA$47,Descontos!A39),0)</f>
        <v>0</v>
      </c>
    </row>
    <row r="71" spans="1:3" x14ac:dyDescent="0.25">
      <c r="A71">
        <f>Datos!$K$19</f>
        <v>0</v>
      </c>
      <c r="B71" t="s">
        <v>1091</v>
      </c>
      <c r="C71">
        <f>IF(A71&lt;&gt;0,HLOOKUP('Cálculos de medidas'!$C$2,Descontos!$E$1:$AA$47,Descontos!A40),0)</f>
        <v>0</v>
      </c>
    </row>
    <row r="72" spans="1:3" x14ac:dyDescent="0.25">
      <c r="A72">
        <f>Datos!$K$19</f>
        <v>0</v>
      </c>
      <c r="B72" t="s">
        <v>1092</v>
      </c>
      <c r="C72">
        <f>IF(A72&lt;&gt;0,HLOOKUP('Cálculos de medidas'!$C$2,Descontos!$E$1:$AA$47,Descontos!A41),0)</f>
        <v>0</v>
      </c>
    </row>
    <row r="73" spans="1:3" x14ac:dyDescent="0.25">
      <c r="A73">
        <f>Datos!$K$19</f>
        <v>0</v>
      </c>
      <c r="B73" t="s">
        <v>1093</v>
      </c>
      <c r="C73">
        <f>IF(A73&lt;&gt;0,HLOOKUP('Cálculos de medidas'!$C$2,Descontos!$E$1:$AA$47,Descontos!A42),0)</f>
        <v>0</v>
      </c>
    </row>
    <row r="74" spans="1:3" x14ac:dyDescent="0.25">
      <c r="A74">
        <f>Datos!$K$19</f>
        <v>0</v>
      </c>
      <c r="B74" t="s">
        <v>1094</v>
      </c>
      <c r="C74">
        <f>IF(A74&lt;&gt;0,HLOOKUP('Cálculos de medidas'!$C$2,Descontos!$E$1:$AA$47,Descontos!A43),0)</f>
        <v>0</v>
      </c>
    </row>
    <row r="75" spans="1:3" x14ac:dyDescent="0.25">
      <c r="A75">
        <f>Datos!$K$19</f>
        <v>0</v>
      </c>
      <c r="B75" t="s">
        <v>1095</v>
      </c>
      <c r="C75">
        <f>IF(A75&lt;&gt;0,HLOOKUP('Cálculos de medidas'!$C$2,Descontos!$E$1:$AA$47,Descontos!A44),0)</f>
        <v>0</v>
      </c>
    </row>
    <row r="76" spans="1:3" x14ac:dyDescent="0.25">
      <c r="A76">
        <f>Datos!$K$19</f>
        <v>0</v>
      </c>
      <c r="B76" t="s">
        <v>1096</v>
      </c>
      <c r="C76">
        <f>IF(A76&lt;&gt;0,HLOOKUP('Cálculos de medidas'!$C$2,Descontos!$E$1:$AA$47,Descontos!A45),0)</f>
        <v>0</v>
      </c>
    </row>
    <row r="77" spans="1:3" x14ac:dyDescent="0.25">
      <c r="A77">
        <f>Datos!$K$19</f>
        <v>0</v>
      </c>
      <c r="B77" t="s">
        <v>1097</v>
      </c>
      <c r="C77">
        <f>IF(A77&lt;&gt;0,HLOOKUP('Cálculos de medidas'!$C$2,Descontos!$E$1:$AA$47,Descontos!A46),0)</f>
        <v>0</v>
      </c>
    </row>
    <row r="79" spans="1:3" x14ac:dyDescent="0.25">
      <c r="A79" t="s">
        <v>1098</v>
      </c>
      <c r="B79" t="s">
        <v>1099</v>
      </c>
      <c r="C79" t="s">
        <v>1100</v>
      </c>
    </row>
    <row r="80" spans="1:3" x14ac:dyDescent="0.25">
      <c r="A80">
        <f>Datos!$O$19</f>
        <v>0</v>
      </c>
      <c r="B80" t="e">
        <f>INDEX('M TELAS'!A:A,MATCH(Datos!C8,'M TELAS'!B:B,0))</f>
        <v>#N/A</v>
      </c>
      <c r="C80">
        <f>IFERROR('Medidas Toldo 3'!G9,0)</f>
        <v>0</v>
      </c>
    </row>
    <row r="81" spans="1:3" x14ac:dyDescent="0.25">
      <c r="A81">
        <f>Datos!$O$19</f>
        <v>0</v>
      </c>
    </row>
    <row r="82" spans="1:3" x14ac:dyDescent="0.25">
      <c r="A82">
        <f>Datos!$O$19</f>
        <v>0</v>
      </c>
      <c r="B82" t="s">
        <v>1076</v>
      </c>
      <c r="C82">
        <f>IF(A82&lt;&gt;0,HLOOKUP('Cálculos de medidas'!$C$2,Descontos!$E$1:$AA$47,Descontos!A25),0)</f>
        <v>0</v>
      </c>
    </row>
    <row r="83" spans="1:3" x14ac:dyDescent="0.25">
      <c r="A83">
        <f>Datos!$O$19</f>
        <v>0</v>
      </c>
      <c r="B83" t="s">
        <v>1077</v>
      </c>
      <c r="C83">
        <f>IF(A83&lt;&gt;0,HLOOKUP('Cálculos de medidas'!$C$2,Descontos!$E$1:$AA$47,Descontos!A26),0)</f>
        <v>0</v>
      </c>
    </row>
    <row r="84" spans="1:3" x14ac:dyDescent="0.25">
      <c r="A84">
        <f>Datos!$O$19</f>
        <v>0</v>
      </c>
      <c r="B84" t="s">
        <v>1078</v>
      </c>
      <c r="C84">
        <f>IF(A84&lt;&gt;0,HLOOKUP('Cálculos de medidas'!$C$2,Descontos!$E$1:$AA$47,Descontos!A27),0)</f>
        <v>0</v>
      </c>
    </row>
    <row r="85" spans="1:3" x14ac:dyDescent="0.25">
      <c r="A85">
        <f>Datos!$O$19</f>
        <v>0</v>
      </c>
      <c r="B85" t="s">
        <v>1079</v>
      </c>
      <c r="C85">
        <f>IF(A85&lt;&gt;0,HLOOKUP('Cálculos de medidas'!$C$2,Descontos!$E$1:$AA$47,Descontos!A28),0)</f>
        <v>0</v>
      </c>
    </row>
    <row r="86" spans="1:3" x14ac:dyDescent="0.25">
      <c r="A86">
        <f>Datos!$O$19</f>
        <v>0</v>
      </c>
      <c r="B86" t="s">
        <v>1080</v>
      </c>
      <c r="C86">
        <f>IF(A86&lt;&gt;0,HLOOKUP('Cálculos de medidas'!$C$2,Descontos!$E$1:$AA$47,Descontos!A29),0)</f>
        <v>0</v>
      </c>
    </row>
    <row r="87" spans="1:3" x14ac:dyDescent="0.25">
      <c r="A87">
        <f>Datos!$O$19</f>
        <v>0</v>
      </c>
      <c r="B87" t="s">
        <v>1081</v>
      </c>
      <c r="C87">
        <f>IF(A87&lt;&gt;0,HLOOKUP('Cálculos de medidas'!$C$2,Descontos!$E$1:$AA$47,Descontos!A30),0)</f>
        <v>0</v>
      </c>
    </row>
    <row r="88" spans="1:3" x14ac:dyDescent="0.25">
      <c r="A88">
        <f>Datos!$O$19</f>
        <v>0</v>
      </c>
      <c r="B88" t="s">
        <v>1082</v>
      </c>
      <c r="C88">
        <f>IF(A88&lt;&gt;0,HLOOKUP('Cálculos de medidas'!$C$2,Descontos!$E$1:$AA$47,Descontos!A31),0)</f>
        <v>0</v>
      </c>
    </row>
    <row r="89" spans="1:3" x14ac:dyDescent="0.25">
      <c r="A89">
        <f>Datos!$O$19</f>
        <v>0</v>
      </c>
      <c r="B89" t="s">
        <v>1083</v>
      </c>
      <c r="C89">
        <f>IF(A89&lt;&gt;0,HLOOKUP('Cálculos de medidas'!$C$2,Descontos!$E$1:$AA$47,Descontos!A32),0)</f>
        <v>0</v>
      </c>
    </row>
    <row r="90" spans="1:3" x14ac:dyDescent="0.25">
      <c r="A90">
        <f>Datos!$O$19</f>
        <v>0</v>
      </c>
      <c r="B90" t="s">
        <v>1084</v>
      </c>
      <c r="C90">
        <f>IF(A90&lt;&gt;0,HLOOKUP('Cálculos de medidas'!$C$2,Descontos!$E$1:$AA$47,Descontos!A33),0)</f>
        <v>0</v>
      </c>
    </row>
    <row r="91" spans="1:3" x14ac:dyDescent="0.25">
      <c r="A91">
        <f>Datos!$O$19</f>
        <v>0</v>
      </c>
      <c r="B91" t="s">
        <v>1085</v>
      </c>
      <c r="C91">
        <f>IF(A91&lt;&gt;0,HLOOKUP('Cálculos de medidas'!$C$2,Descontos!$E$1:$AA$47,Descontos!A34),0)</f>
        <v>0</v>
      </c>
    </row>
    <row r="92" spans="1:3" x14ac:dyDescent="0.25">
      <c r="A92">
        <f>Datos!$O$19</f>
        <v>0</v>
      </c>
      <c r="B92" t="s">
        <v>1086</v>
      </c>
      <c r="C92">
        <f>IF(A92&lt;&gt;0,HLOOKUP('Cálculos de medidas'!$C$2,Descontos!$E$1:$AA$47,Descontos!A35),0)</f>
        <v>0</v>
      </c>
    </row>
    <row r="93" spans="1:3" x14ac:dyDescent="0.25">
      <c r="A93">
        <f>Datos!$O$19</f>
        <v>0</v>
      </c>
      <c r="B93" t="s">
        <v>1087</v>
      </c>
      <c r="C93">
        <f>IF(A93&lt;&gt;0,HLOOKUP('Cálculos de medidas'!$C$2,Descontos!$E$1:$AA$47,Descontos!A36),0)</f>
        <v>0</v>
      </c>
    </row>
    <row r="94" spans="1:3" x14ac:dyDescent="0.25">
      <c r="A94">
        <f>Datos!$O$19</f>
        <v>0</v>
      </c>
      <c r="B94" t="s">
        <v>1088</v>
      </c>
      <c r="C94">
        <f>IF(A94&lt;&gt;0,HLOOKUP('Cálculos de medidas'!$C$2,Descontos!$E$1:$AA$47,Descontos!A37),0)</f>
        <v>0</v>
      </c>
    </row>
    <row r="95" spans="1:3" x14ac:dyDescent="0.25">
      <c r="A95">
        <f>Datos!$O$19</f>
        <v>0</v>
      </c>
      <c r="B95" t="s">
        <v>1089</v>
      </c>
      <c r="C95">
        <f>IF(A95&lt;&gt;0,HLOOKUP('Cálculos de medidas'!$C$2,Descontos!$E$1:$AA$47,Descontos!A38),0)</f>
        <v>0</v>
      </c>
    </row>
    <row r="96" spans="1:3" x14ac:dyDescent="0.25">
      <c r="A96">
        <f>Datos!$O$19</f>
        <v>0</v>
      </c>
      <c r="B96" t="s">
        <v>1090</v>
      </c>
      <c r="C96">
        <f>IF(A96&lt;&gt;0,HLOOKUP('Cálculos de medidas'!$C$2,Descontos!$E$1:$AA$47,Descontos!A39),0)</f>
        <v>0</v>
      </c>
    </row>
    <row r="97" spans="1:3" x14ac:dyDescent="0.25">
      <c r="A97">
        <f>Datos!$O$19</f>
        <v>0</v>
      </c>
      <c r="B97" t="s">
        <v>1091</v>
      </c>
      <c r="C97">
        <f>IF(A97&lt;&gt;0,HLOOKUP('Cálculos de medidas'!$C$2,Descontos!$E$1:$AA$47,Descontos!A40),0)</f>
        <v>0</v>
      </c>
    </row>
    <row r="98" spans="1:3" x14ac:dyDescent="0.25">
      <c r="A98">
        <f>Datos!$O$19</f>
        <v>0</v>
      </c>
      <c r="B98" t="s">
        <v>1092</v>
      </c>
      <c r="C98">
        <f>IF(A98&lt;&gt;0,HLOOKUP('Cálculos de medidas'!$C$2,Descontos!$E$1:$AA$47,Descontos!A41),0)</f>
        <v>0</v>
      </c>
    </row>
    <row r="99" spans="1:3" x14ac:dyDescent="0.25">
      <c r="A99">
        <f>Datos!$O$19</f>
        <v>0</v>
      </c>
      <c r="B99" t="s">
        <v>1093</v>
      </c>
      <c r="C99">
        <f>IF(A99&lt;&gt;0,HLOOKUP('Cálculos de medidas'!$C$2,Descontos!$E$1:$AA$47,Descontos!A42),0)</f>
        <v>0</v>
      </c>
    </row>
    <row r="100" spans="1:3" x14ac:dyDescent="0.25">
      <c r="A100">
        <f>Datos!$O$19</f>
        <v>0</v>
      </c>
      <c r="B100" t="s">
        <v>1094</v>
      </c>
      <c r="C100">
        <f>IF(A100&lt;&gt;0,HLOOKUP('Cálculos de medidas'!$C$2,Descontos!$E$1:$AA$47,Descontos!A43),0)</f>
        <v>0</v>
      </c>
    </row>
    <row r="101" spans="1:3" x14ac:dyDescent="0.25">
      <c r="A101">
        <f>Datos!$O$19</f>
        <v>0</v>
      </c>
      <c r="B101" t="s">
        <v>1095</v>
      </c>
      <c r="C101">
        <f>IF(A101&lt;&gt;0,HLOOKUP('Cálculos de medidas'!$C$2,Descontos!$E$1:$AA$47,Descontos!A44),0)</f>
        <v>0</v>
      </c>
    </row>
    <row r="102" spans="1:3" x14ac:dyDescent="0.25">
      <c r="A102">
        <f>Datos!$O$19</f>
        <v>0</v>
      </c>
      <c r="B102" t="s">
        <v>1096</v>
      </c>
      <c r="C102">
        <f>IF(A102&lt;&gt;0,HLOOKUP('Cálculos de medidas'!$C$2,Descontos!$E$1:$AA$47,Descontos!A45),0)</f>
        <v>0</v>
      </c>
    </row>
    <row r="103" spans="1:3" x14ac:dyDescent="0.25">
      <c r="A103">
        <f>Datos!$O$19</f>
        <v>0</v>
      </c>
      <c r="B103" t="s">
        <v>1097</v>
      </c>
      <c r="C103">
        <f>IF(A103&lt;&gt;0,HLOOKUP('Cálculos de medidas'!$C$2,Descontos!$E$1:$AA$47,Descontos!A46),0)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7090-E8DB-4C13-AB6A-F1D2E21866ED}">
  <dimension ref="A2:J100"/>
  <sheetViews>
    <sheetView workbookViewId="0">
      <selection activeCell="L19" sqref="L19"/>
    </sheetView>
  </sheetViews>
  <sheetFormatPr baseColWidth="10" defaultRowHeight="15" x14ac:dyDescent="0.25"/>
  <cols>
    <col min="2" max="2" width="31.28515625" customWidth="1"/>
  </cols>
  <sheetData>
    <row r="2" spans="1:10" x14ac:dyDescent="0.25">
      <c r="A2" t="e">
        <f>_xlfn.IFS(Datos!C12=110,"0",Datos!C12=130,"1",Datos!C12=150,"2")</f>
        <v>#N/A</v>
      </c>
      <c r="B2" t="s">
        <v>76</v>
      </c>
      <c r="C2" t="e">
        <f>_xlfn.CONCAT('Cálculos de medidas'!A2,'Cálculos de medidas'!A3,'Cálculos de medidas'!A4,'Cálculos de medidas'!A5,'Cálculos de medidas'!A6,)</f>
        <v>#N/A</v>
      </c>
    </row>
    <row r="3" spans="1:10" x14ac:dyDescent="0.25">
      <c r="A3" t="str">
        <f>IF(Datos!C13="SI","0","1")</f>
        <v>1</v>
      </c>
    </row>
    <row r="4" spans="1:10" x14ac:dyDescent="0.25">
      <c r="A4" t="e">
        <f>_xlfn.IFS(Datos!C14="NO","0",Datos!C14="Pequeña","1",Datos!C14="Normal","2")</f>
        <v>#N/A</v>
      </c>
    </row>
    <row r="5" spans="1:10" x14ac:dyDescent="0.25">
      <c r="A5" t="e">
        <f>_xlfn.IFS(Datos!C15="Máquina","0",Datos!C15="Motor","1")</f>
        <v>#N/A</v>
      </c>
    </row>
    <row r="6" spans="1:10" x14ac:dyDescent="0.25">
      <c r="A6" t="e">
        <f>_xlfn.IFS(Datos!C16="NO","0",Datos!C16="SI","1")</f>
        <v>#N/A</v>
      </c>
    </row>
    <row r="7" spans="1:10" x14ac:dyDescent="0.25">
      <c r="A7" s="107" t="s">
        <v>97</v>
      </c>
      <c r="B7" s="107"/>
      <c r="C7" s="107"/>
      <c r="D7" s="107"/>
      <c r="E7" s="107"/>
      <c r="F7" s="107"/>
      <c r="G7" s="107"/>
      <c r="H7" s="107"/>
      <c r="I7" s="107"/>
      <c r="J7" s="107"/>
    </row>
    <row r="8" spans="1:10" x14ac:dyDescent="0.25">
      <c r="C8" t="s">
        <v>63</v>
      </c>
      <c r="D8" t="s">
        <v>27</v>
      </c>
      <c r="F8" t="s">
        <v>64</v>
      </c>
      <c r="H8" t="s">
        <v>66</v>
      </c>
      <c r="J8" t="s">
        <v>65</v>
      </c>
    </row>
    <row r="9" spans="1:10" x14ac:dyDescent="0.25">
      <c r="B9" t="s">
        <v>15</v>
      </c>
      <c r="C9" t="e">
        <f>HLOOKUP($C$2,Descontos!$E$1:$AA$18,6)</f>
        <v>#N/A</v>
      </c>
      <c r="D9">
        <f>IF(Datos!$C$17="SI",0.6,0)</f>
        <v>0</v>
      </c>
      <c r="F9" t="e">
        <f>C9+D9</f>
        <v>#N/A</v>
      </c>
      <c r="H9">
        <f>Datos!$C$34</f>
        <v>0</v>
      </c>
      <c r="J9" s="4" t="e">
        <f>H9-F9</f>
        <v>#N/A</v>
      </c>
    </row>
    <row r="10" spans="1:10" x14ac:dyDescent="0.25">
      <c r="B10" t="s">
        <v>39</v>
      </c>
      <c r="H10" t="e">
        <f>MIN('Cálculos de escuadrado'!G3,'Cálculos de escuadrado'!G4)</f>
        <v>#DIV/0!</v>
      </c>
      <c r="J10" s="4" t="e">
        <f>H10-F10</f>
        <v>#DIV/0!</v>
      </c>
    </row>
    <row r="11" spans="1:10" x14ac:dyDescent="0.25">
      <c r="B11" t="s">
        <v>19</v>
      </c>
      <c r="C11" t="e">
        <f>HLOOKUP($C$2,Descontos!$E$1:$AA$18,8)</f>
        <v>#N/A</v>
      </c>
      <c r="D11">
        <f>IF(Datos!$C$17="SI",0.6,0)</f>
        <v>0</v>
      </c>
      <c r="F11" t="e">
        <f t="shared" ref="F11:F28" si="0">C11+D11</f>
        <v>#N/A</v>
      </c>
      <c r="H11">
        <f>Datos!$C$34</f>
        <v>0</v>
      </c>
      <c r="J11" s="4" t="e">
        <f t="shared" ref="J11:J28" si="1">H11-F11</f>
        <v>#N/A</v>
      </c>
    </row>
    <row r="12" spans="1:10" x14ac:dyDescent="0.25">
      <c r="B12" t="s">
        <v>40</v>
      </c>
      <c r="C12" t="e">
        <f>HLOOKUP($C$2,Descontos!$E$1:$AA$18,9)</f>
        <v>#N/A</v>
      </c>
      <c r="D12">
        <f>IF(Datos!$C$17="SI",0.6,0)</f>
        <v>0</v>
      </c>
      <c r="F12" t="e">
        <f t="shared" si="0"/>
        <v>#N/A</v>
      </c>
      <c r="H12">
        <f>Datos!$C$34</f>
        <v>0</v>
      </c>
      <c r="J12" s="4" t="e">
        <f t="shared" si="1"/>
        <v>#N/A</v>
      </c>
    </row>
    <row r="13" spans="1:10" x14ac:dyDescent="0.25">
      <c r="B13" t="s">
        <v>41</v>
      </c>
      <c r="C13" t="e">
        <f>HLOOKUP($C$2,Descontos!$E$1:$AA$18,10)</f>
        <v>#N/A</v>
      </c>
      <c r="D13">
        <f>IF(Datos!$C$17="SI",0.6,0)</f>
        <v>0</v>
      </c>
      <c r="F13" t="e">
        <f t="shared" si="0"/>
        <v>#N/A</v>
      </c>
      <c r="H13">
        <f>Datos!$C$34</f>
        <v>0</v>
      </c>
      <c r="J13" s="4" t="e">
        <f t="shared" si="1"/>
        <v>#N/A</v>
      </c>
    </row>
    <row r="14" spans="1:10" x14ac:dyDescent="0.25">
      <c r="B14" t="s">
        <v>42</v>
      </c>
      <c r="C14" t="e">
        <f>HLOOKUP($C$2,Descontos!$E$1:$AA$18,11)</f>
        <v>#N/A</v>
      </c>
      <c r="D14">
        <f>IF(Datos!$C$17="SI",0.6,0)</f>
        <v>0</v>
      </c>
      <c r="F14" t="e">
        <f t="shared" si="0"/>
        <v>#N/A</v>
      </c>
      <c r="H14">
        <f>Datos!$C$34</f>
        <v>0</v>
      </c>
      <c r="J14" s="4" t="e">
        <f t="shared" si="1"/>
        <v>#N/A</v>
      </c>
    </row>
    <row r="15" spans="1:10" x14ac:dyDescent="0.25">
      <c r="J15" s="4"/>
    </row>
    <row r="16" spans="1:10" x14ac:dyDescent="0.25">
      <c r="A16" t="s">
        <v>60</v>
      </c>
      <c r="B16" t="s">
        <v>49</v>
      </c>
      <c r="C16" t="e">
        <f>HLOOKUP($C$2,Descontos!$E$1:$AA$18,14)</f>
        <v>#N/A</v>
      </c>
      <c r="F16" t="e">
        <f t="shared" si="0"/>
        <v>#N/A</v>
      </c>
      <c r="H16" t="e">
        <f>'Cálculos de escuadrado'!$G$3</f>
        <v>#DIV/0!</v>
      </c>
      <c r="J16" s="4" t="e">
        <f t="shared" si="1"/>
        <v>#DIV/0!</v>
      </c>
    </row>
    <row r="17" spans="1:10" x14ac:dyDescent="0.25">
      <c r="A17" t="s">
        <v>60</v>
      </c>
      <c r="B17" t="s">
        <v>55</v>
      </c>
      <c r="C17" t="e">
        <f>HLOOKUP($C$2,Descontos!$E$1:$AA$18,16)</f>
        <v>#N/A</v>
      </c>
      <c r="F17" t="e">
        <f t="shared" si="0"/>
        <v>#N/A</v>
      </c>
      <c r="H17" t="e">
        <f>'Cálculos de escuadrado'!$G$3</f>
        <v>#DIV/0!</v>
      </c>
      <c r="J17" s="4" t="e">
        <f t="shared" si="1"/>
        <v>#DIV/0!</v>
      </c>
    </row>
    <row r="18" spans="1:10" x14ac:dyDescent="0.25">
      <c r="A18" t="s">
        <v>60</v>
      </c>
      <c r="B18" t="s">
        <v>53</v>
      </c>
      <c r="C18" t="e">
        <f>HLOOKUP($C$2,Descontos!$E$1:$AA$18,12)</f>
        <v>#N/A</v>
      </c>
      <c r="F18" t="e">
        <f>C18+D18</f>
        <v>#N/A</v>
      </c>
      <c r="H18">
        <f>Datos!C23</f>
        <v>0</v>
      </c>
      <c r="J18" s="4" t="e">
        <f>H18-F18</f>
        <v>#N/A</v>
      </c>
    </row>
    <row r="19" spans="1:10" x14ac:dyDescent="0.25">
      <c r="J19" s="4"/>
    </row>
    <row r="20" spans="1:10" x14ac:dyDescent="0.25">
      <c r="A20" t="s">
        <v>61</v>
      </c>
      <c r="B20" t="s">
        <v>49</v>
      </c>
      <c r="C20" t="e">
        <f>HLOOKUP($C$2,Descontos!$E$1:$AA$18,14)</f>
        <v>#N/A</v>
      </c>
      <c r="F20" t="e">
        <f t="shared" si="0"/>
        <v>#N/A</v>
      </c>
      <c r="H20" t="e">
        <f>'Cálculos de escuadrado'!$G$4</f>
        <v>#DIV/0!</v>
      </c>
      <c r="J20" s="4" t="e">
        <f t="shared" si="1"/>
        <v>#DIV/0!</v>
      </c>
    </row>
    <row r="21" spans="1:10" x14ac:dyDescent="0.25">
      <c r="A21" t="s">
        <v>61</v>
      </c>
      <c r="B21" t="s">
        <v>55</v>
      </c>
      <c r="C21" t="e">
        <f>HLOOKUP($C$2,Descontos!$E$1:$AA$18,16)</f>
        <v>#N/A</v>
      </c>
      <c r="F21" t="e">
        <f t="shared" si="0"/>
        <v>#N/A</v>
      </c>
      <c r="H21" t="e">
        <f>'Cálculos de escuadrado'!$G$4</f>
        <v>#DIV/0!</v>
      </c>
      <c r="J21" s="4" t="e">
        <f t="shared" si="1"/>
        <v>#DIV/0!</v>
      </c>
    </row>
    <row r="22" spans="1:10" x14ac:dyDescent="0.25">
      <c r="A22" t="s">
        <v>61</v>
      </c>
      <c r="B22" t="s">
        <v>53</v>
      </c>
      <c r="C22" t="e">
        <f>HLOOKUP($C$2,Descontos!$E$1:$AA$18,12)</f>
        <v>#N/A</v>
      </c>
      <c r="F22" t="e">
        <f>C22+D22</f>
        <v>#N/A</v>
      </c>
      <c r="H22">
        <f>Datos!C27</f>
        <v>0</v>
      </c>
      <c r="J22" s="4" t="e">
        <f>H22-F22</f>
        <v>#N/A</v>
      </c>
    </row>
    <row r="23" spans="1:10" x14ac:dyDescent="0.25">
      <c r="J23" s="4"/>
    </row>
    <row r="24" spans="1:10" x14ac:dyDescent="0.25">
      <c r="B24" t="s">
        <v>54</v>
      </c>
      <c r="C24" t="e">
        <f>HLOOKUP($C$2,Descontos!$E$1:$AA$18,13)</f>
        <v>#N/A</v>
      </c>
      <c r="D24">
        <f>IF(Datos!$C$17="SI",0.6,0)</f>
        <v>0</v>
      </c>
      <c r="F24" t="e">
        <f t="shared" si="0"/>
        <v>#N/A</v>
      </c>
      <c r="J24" s="4" t="e">
        <f t="shared" si="1"/>
        <v>#N/A</v>
      </c>
    </row>
    <row r="25" spans="1:10" x14ac:dyDescent="0.25">
      <c r="B25" t="s">
        <v>50</v>
      </c>
      <c r="C25" t="e">
        <f>HLOOKUP($C$2,Descontos!$E$1:$AA$18,15)</f>
        <v>#N/A</v>
      </c>
      <c r="D25">
        <f>IF(Datos!$C$17="SI",0.6,0)</f>
        <v>0</v>
      </c>
      <c r="F25" t="e">
        <f t="shared" si="0"/>
        <v>#N/A</v>
      </c>
      <c r="J25" s="4" t="e">
        <f t="shared" si="1"/>
        <v>#N/A</v>
      </c>
    </row>
    <row r="26" spans="1:10" x14ac:dyDescent="0.25">
      <c r="B26" t="s">
        <v>56</v>
      </c>
      <c r="C26" t="e">
        <f>HLOOKUP($C$2,Descontos!$E$1:$AA$18,17)</f>
        <v>#N/A</v>
      </c>
      <c r="D26">
        <f>IF(Datos!$C$17="SI",0.6,0)</f>
        <v>0</v>
      </c>
      <c r="F26" t="e">
        <f t="shared" si="0"/>
        <v>#N/A</v>
      </c>
      <c r="J26" s="4" t="e">
        <f t="shared" si="1"/>
        <v>#N/A</v>
      </c>
    </row>
    <row r="27" spans="1:10" x14ac:dyDescent="0.25">
      <c r="J27" s="4"/>
    </row>
    <row r="28" spans="1:10" x14ac:dyDescent="0.25">
      <c r="B28" t="s">
        <v>51</v>
      </c>
      <c r="D28">
        <f>IF(Datos!$C$17="SI",0.6,0)</f>
        <v>0</v>
      </c>
      <c r="F28">
        <f t="shared" si="0"/>
        <v>0</v>
      </c>
      <c r="J28" s="4">
        <f t="shared" si="1"/>
        <v>0</v>
      </c>
    </row>
    <row r="31" spans="1:10" x14ac:dyDescent="0.25">
      <c r="A31" s="107" t="s">
        <v>98</v>
      </c>
      <c r="B31" s="107"/>
      <c r="C31" s="107"/>
      <c r="D31" s="107"/>
      <c r="E31" s="107"/>
      <c r="F31" s="107"/>
      <c r="G31" s="107"/>
      <c r="H31" s="107"/>
      <c r="I31" s="107"/>
      <c r="J31" s="107"/>
    </row>
    <row r="32" spans="1:10" x14ac:dyDescent="0.25">
      <c r="C32" t="s">
        <v>63</v>
      </c>
      <c r="D32" t="s">
        <v>27</v>
      </c>
      <c r="F32" t="s">
        <v>64</v>
      </c>
      <c r="H32" t="s">
        <v>66</v>
      </c>
      <c r="J32" t="s">
        <v>65</v>
      </c>
    </row>
    <row r="33" spans="1:10" x14ac:dyDescent="0.25">
      <c r="B33" t="s">
        <v>15</v>
      </c>
      <c r="C33" t="e">
        <f>HLOOKUP($C$2,Descontos!$E$1:$AA$18,6)</f>
        <v>#N/A</v>
      </c>
      <c r="D33">
        <f>IF(Datos!$C$17="SI",0.6,0)</f>
        <v>0</v>
      </c>
      <c r="F33" t="e">
        <f>C33+D33</f>
        <v>#N/A</v>
      </c>
      <c r="H33">
        <f>Datos!$G$34</f>
        <v>0</v>
      </c>
      <c r="J33" s="4" t="e">
        <f>H33-F33</f>
        <v>#N/A</v>
      </c>
    </row>
    <row r="34" spans="1:10" x14ac:dyDescent="0.25">
      <c r="B34" t="s">
        <v>39</v>
      </c>
      <c r="H34" t="e">
        <f>MIN('Cálculos de escuadrado'!G7,'Cálculos de escuadrado'!G8)</f>
        <v>#DIV/0!</v>
      </c>
      <c r="J34" s="4" t="e">
        <f>H34-F34</f>
        <v>#DIV/0!</v>
      </c>
    </row>
    <row r="35" spans="1:10" x14ac:dyDescent="0.25">
      <c r="B35" t="s">
        <v>19</v>
      </c>
      <c r="C35" t="e">
        <f>HLOOKUP($C$2,Descontos!$E$1:$AA$18,8)</f>
        <v>#N/A</v>
      </c>
      <c r="D35">
        <f>IF(Datos!$C$17="SI",0.6,0)</f>
        <v>0</v>
      </c>
      <c r="F35" t="e">
        <f t="shared" ref="F35:F38" si="2">C35+D35</f>
        <v>#N/A</v>
      </c>
      <c r="H35">
        <f>Datos!$G$34</f>
        <v>0</v>
      </c>
      <c r="J35" s="4" t="e">
        <f t="shared" ref="J35:J38" si="3">H35-F35</f>
        <v>#N/A</v>
      </c>
    </row>
    <row r="36" spans="1:10" x14ac:dyDescent="0.25">
      <c r="B36" t="s">
        <v>40</v>
      </c>
      <c r="C36" t="e">
        <f>HLOOKUP($C$2,Descontos!$E$1:$AA$18,9)</f>
        <v>#N/A</v>
      </c>
      <c r="D36">
        <f>IF(Datos!$C$17="SI",0.6,0)</f>
        <v>0</v>
      </c>
      <c r="F36" t="e">
        <f t="shared" si="2"/>
        <v>#N/A</v>
      </c>
      <c r="H36">
        <f>Datos!$G$34</f>
        <v>0</v>
      </c>
      <c r="J36" s="4" t="e">
        <f t="shared" si="3"/>
        <v>#N/A</v>
      </c>
    </row>
    <row r="37" spans="1:10" x14ac:dyDescent="0.25">
      <c r="B37" t="s">
        <v>41</v>
      </c>
      <c r="C37" t="e">
        <f>HLOOKUP($C$2,Descontos!$E$1:$AA$18,10)</f>
        <v>#N/A</v>
      </c>
      <c r="D37">
        <f>IF(Datos!$C$17="SI",0.6,0)</f>
        <v>0</v>
      </c>
      <c r="F37" t="e">
        <f t="shared" si="2"/>
        <v>#N/A</v>
      </c>
      <c r="H37">
        <f>Datos!$G$34</f>
        <v>0</v>
      </c>
      <c r="J37" s="4" t="e">
        <f t="shared" si="3"/>
        <v>#N/A</v>
      </c>
    </row>
    <row r="38" spans="1:10" x14ac:dyDescent="0.25">
      <c r="B38" t="s">
        <v>42</v>
      </c>
      <c r="C38" t="e">
        <f>HLOOKUP($C$2,Descontos!$E$1:$AA$18,11)</f>
        <v>#N/A</v>
      </c>
      <c r="D38">
        <f>IF(Datos!$C$17="SI",0.6,0)</f>
        <v>0</v>
      </c>
      <c r="F38" t="e">
        <f t="shared" si="2"/>
        <v>#N/A</v>
      </c>
      <c r="H38">
        <f>Datos!$G$34</f>
        <v>0</v>
      </c>
      <c r="J38" s="4" t="e">
        <f t="shared" si="3"/>
        <v>#N/A</v>
      </c>
    </row>
    <row r="39" spans="1:10" x14ac:dyDescent="0.25">
      <c r="J39" s="4"/>
    </row>
    <row r="40" spans="1:10" x14ac:dyDescent="0.25">
      <c r="A40" t="s">
        <v>60</v>
      </c>
      <c r="B40" t="s">
        <v>49</v>
      </c>
      <c r="C40" t="e">
        <f>HLOOKUP($C$2,Descontos!$E$1:$AA$18,14)</f>
        <v>#N/A</v>
      </c>
      <c r="F40" t="e">
        <f t="shared" ref="F40:F41" si="4">C40+D40</f>
        <v>#N/A</v>
      </c>
      <c r="H40" t="e">
        <f>'Cálculos de escuadrado'!$G$3</f>
        <v>#DIV/0!</v>
      </c>
      <c r="J40" s="4" t="e">
        <f t="shared" ref="J40:J41" si="5">H40-F40</f>
        <v>#DIV/0!</v>
      </c>
    </row>
    <row r="41" spans="1:10" x14ac:dyDescent="0.25">
      <c r="A41" t="s">
        <v>60</v>
      </c>
      <c r="B41" t="s">
        <v>55</v>
      </c>
      <c r="C41" t="e">
        <f>HLOOKUP($C$2,Descontos!$E$1:$AA$18,16)</f>
        <v>#N/A</v>
      </c>
      <c r="F41" t="e">
        <f t="shared" si="4"/>
        <v>#N/A</v>
      </c>
      <c r="H41" t="e">
        <f>'Cálculos de escuadrado'!$G$3</f>
        <v>#DIV/0!</v>
      </c>
      <c r="J41" s="4" t="e">
        <f t="shared" si="5"/>
        <v>#DIV/0!</v>
      </c>
    </row>
    <row r="42" spans="1:10" x14ac:dyDescent="0.25">
      <c r="A42" t="s">
        <v>60</v>
      </c>
      <c r="B42" t="s">
        <v>53</v>
      </c>
      <c r="C42" t="e">
        <f>HLOOKUP($C$2,Descontos!$E$1:$AA$18,12)</f>
        <v>#N/A</v>
      </c>
      <c r="F42" t="e">
        <f>C42+D42</f>
        <v>#N/A</v>
      </c>
      <c r="H42">
        <f>Datos!C49</f>
        <v>0</v>
      </c>
      <c r="J42" s="4" t="e">
        <f>H42-F42</f>
        <v>#N/A</v>
      </c>
    </row>
    <row r="43" spans="1:10" x14ac:dyDescent="0.25">
      <c r="J43" s="4"/>
    </row>
    <row r="44" spans="1:10" x14ac:dyDescent="0.25">
      <c r="A44" t="s">
        <v>61</v>
      </c>
      <c r="B44" t="s">
        <v>49</v>
      </c>
      <c r="C44" t="e">
        <f>HLOOKUP($C$2,Descontos!$E$1:$AA$18,14)</f>
        <v>#N/A</v>
      </c>
      <c r="F44" t="e">
        <f t="shared" ref="F44:F45" si="6">C44+D44</f>
        <v>#N/A</v>
      </c>
      <c r="H44" t="e">
        <f>'Cálculos de escuadrado'!$G$4</f>
        <v>#DIV/0!</v>
      </c>
      <c r="J44" s="4" t="e">
        <f t="shared" ref="J44:J45" si="7">H44-F44</f>
        <v>#DIV/0!</v>
      </c>
    </row>
    <row r="45" spans="1:10" x14ac:dyDescent="0.25">
      <c r="A45" t="s">
        <v>61</v>
      </c>
      <c r="B45" t="s">
        <v>55</v>
      </c>
      <c r="C45" t="e">
        <f>HLOOKUP($C$2,Descontos!$E$1:$AA$18,16)</f>
        <v>#N/A</v>
      </c>
      <c r="F45" t="e">
        <f t="shared" si="6"/>
        <v>#N/A</v>
      </c>
      <c r="H45" t="e">
        <f>'Cálculos de escuadrado'!$G$4</f>
        <v>#DIV/0!</v>
      </c>
      <c r="J45" s="4" t="e">
        <f t="shared" si="7"/>
        <v>#DIV/0!</v>
      </c>
    </row>
    <row r="46" spans="1:10" x14ac:dyDescent="0.25">
      <c r="A46" t="s">
        <v>61</v>
      </c>
      <c r="B46" t="s">
        <v>53</v>
      </c>
      <c r="C46" t="e">
        <f>HLOOKUP($C$2,Descontos!$E$1:$AA$18,12)</f>
        <v>#N/A</v>
      </c>
      <c r="F46" t="e">
        <f>C46+D46</f>
        <v>#N/A</v>
      </c>
      <c r="H46">
        <f>Datos!C53</f>
        <v>0</v>
      </c>
      <c r="J46" s="4" t="e">
        <f>H46-F46</f>
        <v>#N/A</v>
      </c>
    </row>
    <row r="47" spans="1:10" x14ac:dyDescent="0.25">
      <c r="J47" s="4"/>
    </row>
    <row r="48" spans="1:10" x14ac:dyDescent="0.25">
      <c r="B48" t="s">
        <v>54</v>
      </c>
      <c r="C48" t="e">
        <f>HLOOKUP($C$2,Descontos!$E$1:$AA$18,13)</f>
        <v>#N/A</v>
      </c>
      <c r="D48">
        <f>IF(Datos!$C$17="SI",0.6,0)</f>
        <v>0</v>
      </c>
      <c r="F48" t="e">
        <f t="shared" ref="F48:F50" si="8">C48+D48</f>
        <v>#N/A</v>
      </c>
      <c r="J48" s="4" t="e">
        <f t="shared" ref="J48:J50" si="9">H48-F48</f>
        <v>#N/A</v>
      </c>
    </row>
    <row r="49" spans="1:10" x14ac:dyDescent="0.25">
      <c r="B49" t="s">
        <v>50</v>
      </c>
      <c r="C49" t="e">
        <f>HLOOKUP($C$2,Descontos!$E$1:$AA$18,15)</f>
        <v>#N/A</v>
      </c>
      <c r="D49">
        <f>IF(Datos!$C$17="SI",0.6,0)</f>
        <v>0</v>
      </c>
      <c r="F49" t="e">
        <f t="shared" si="8"/>
        <v>#N/A</v>
      </c>
      <c r="J49" s="4" t="e">
        <f t="shared" si="9"/>
        <v>#N/A</v>
      </c>
    </row>
    <row r="50" spans="1:10" x14ac:dyDescent="0.25">
      <c r="B50" t="s">
        <v>56</v>
      </c>
      <c r="C50" t="e">
        <f>HLOOKUP($C$2,Descontos!$E$1:$AA$18,17)</f>
        <v>#N/A</v>
      </c>
      <c r="D50">
        <f>IF(Datos!$C$17="SI",0.6,0)</f>
        <v>0</v>
      </c>
      <c r="F50" t="e">
        <f t="shared" si="8"/>
        <v>#N/A</v>
      </c>
      <c r="J50" s="4" t="e">
        <f t="shared" si="9"/>
        <v>#N/A</v>
      </c>
    </row>
    <row r="51" spans="1:10" x14ac:dyDescent="0.25">
      <c r="J51" s="4"/>
    </row>
    <row r="52" spans="1:10" x14ac:dyDescent="0.25">
      <c r="B52" t="s">
        <v>51</v>
      </c>
      <c r="D52">
        <f>IF(Datos!$C$17="SI",0.6,0)</f>
        <v>0</v>
      </c>
      <c r="F52">
        <f t="shared" ref="F52" si="10">C52+D52</f>
        <v>0</v>
      </c>
      <c r="J52" s="4">
        <f t="shared" ref="J52" si="11">H52-F52</f>
        <v>0</v>
      </c>
    </row>
    <row r="55" spans="1:10" x14ac:dyDescent="0.25">
      <c r="A55" s="107" t="s">
        <v>99</v>
      </c>
      <c r="B55" s="107"/>
      <c r="C55" s="107"/>
      <c r="D55" s="107"/>
      <c r="E55" s="107"/>
      <c r="F55" s="107"/>
      <c r="G55" s="107"/>
      <c r="H55" s="107"/>
      <c r="I55" s="107"/>
      <c r="J55" s="107"/>
    </row>
    <row r="56" spans="1:10" x14ac:dyDescent="0.25">
      <c r="C56" t="s">
        <v>63</v>
      </c>
      <c r="D56" t="s">
        <v>27</v>
      </c>
      <c r="F56" t="s">
        <v>64</v>
      </c>
      <c r="H56" t="s">
        <v>66</v>
      </c>
      <c r="J56" t="s">
        <v>65</v>
      </c>
    </row>
    <row r="57" spans="1:10" x14ac:dyDescent="0.25">
      <c r="B57" t="s">
        <v>15</v>
      </c>
      <c r="C57" t="e">
        <f>HLOOKUP($C$2,Descontos!$E$1:$AA$18,6)</f>
        <v>#N/A</v>
      </c>
      <c r="D57">
        <f>IF(Datos!$C$17="SI",0.6,0)</f>
        <v>0</v>
      </c>
      <c r="F57" t="e">
        <f>C57+D57</f>
        <v>#N/A</v>
      </c>
      <c r="H57">
        <f>Datos!$K$34</f>
        <v>0</v>
      </c>
      <c r="J57" s="4" t="e">
        <f>H57-F57</f>
        <v>#N/A</v>
      </c>
    </row>
    <row r="58" spans="1:10" x14ac:dyDescent="0.25">
      <c r="B58" t="s">
        <v>39</v>
      </c>
      <c r="H58" t="e">
        <f>MIN('Cálculos de escuadrado'!G11,'Cálculos de escuadrado'!G12)</f>
        <v>#DIV/0!</v>
      </c>
      <c r="J58" s="4" t="e">
        <f>H58-F58</f>
        <v>#DIV/0!</v>
      </c>
    </row>
    <row r="59" spans="1:10" x14ac:dyDescent="0.25">
      <c r="B59" t="s">
        <v>19</v>
      </c>
      <c r="C59" t="e">
        <f>HLOOKUP($C$2,Descontos!$E$1:$AA$18,8)</f>
        <v>#N/A</v>
      </c>
      <c r="D59">
        <f>IF(Datos!$C$17="SI",0.6,0)</f>
        <v>0</v>
      </c>
      <c r="F59" t="e">
        <f t="shared" ref="F59:F62" si="12">C59+D59</f>
        <v>#N/A</v>
      </c>
      <c r="H59">
        <f>Datos!$K$34</f>
        <v>0</v>
      </c>
      <c r="J59" s="4" t="e">
        <f t="shared" ref="J59:J62" si="13">H59-F59</f>
        <v>#N/A</v>
      </c>
    </row>
    <row r="60" spans="1:10" x14ac:dyDescent="0.25">
      <c r="B60" t="s">
        <v>40</v>
      </c>
      <c r="C60" t="e">
        <f>HLOOKUP($C$2,Descontos!$E$1:$AA$18,9)</f>
        <v>#N/A</v>
      </c>
      <c r="D60">
        <f>IF(Datos!$C$17="SI",0.6,0)</f>
        <v>0</v>
      </c>
      <c r="F60" t="e">
        <f t="shared" si="12"/>
        <v>#N/A</v>
      </c>
      <c r="H60">
        <f>Datos!$K$34</f>
        <v>0</v>
      </c>
      <c r="J60" s="4" t="e">
        <f t="shared" si="13"/>
        <v>#N/A</v>
      </c>
    </row>
    <row r="61" spans="1:10" x14ac:dyDescent="0.25">
      <c r="B61" t="s">
        <v>41</v>
      </c>
      <c r="C61" t="e">
        <f>HLOOKUP($C$2,Descontos!$E$1:$AA$18,10)</f>
        <v>#N/A</v>
      </c>
      <c r="D61">
        <f>IF(Datos!$C$17="SI",0.6,0)</f>
        <v>0</v>
      </c>
      <c r="F61" t="e">
        <f t="shared" si="12"/>
        <v>#N/A</v>
      </c>
      <c r="H61">
        <f>Datos!$K$34</f>
        <v>0</v>
      </c>
      <c r="J61" s="4" t="e">
        <f t="shared" si="13"/>
        <v>#N/A</v>
      </c>
    </row>
    <row r="62" spans="1:10" x14ac:dyDescent="0.25">
      <c r="B62" t="s">
        <v>42</v>
      </c>
      <c r="C62" t="e">
        <f>HLOOKUP($C$2,Descontos!$E$1:$AA$18,11)</f>
        <v>#N/A</v>
      </c>
      <c r="D62">
        <f>IF(Datos!$C$17="SI",0.6,0)</f>
        <v>0</v>
      </c>
      <c r="F62" t="e">
        <f t="shared" si="12"/>
        <v>#N/A</v>
      </c>
      <c r="H62">
        <f>Datos!$K$34</f>
        <v>0</v>
      </c>
      <c r="J62" s="4" t="e">
        <f t="shared" si="13"/>
        <v>#N/A</v>
      </c>
    </row>
    <row r="63" spans="1:10" x14ac:dyDescent="0.25">
      <c r="J63" s="4"/>
    </row>
    <row r="64" spans="1:10" x14ac:dyDescent="0.25">
      <c r="A64" t="s">
        <v>60</v>
      </c>
      <c r="B64" t="s">
        <v>49</v>
      </c>
      <c r="C64" t="e">
        <f>HLOOKUP($C$2,Descontos!$E$1:$AA$18,14)</f>
        <v>#N/A</v>
      </c>
      <c r="F64" t="e">
        <f t="shared" ref="F64:F65" si="14">C64+D64</f>
        <v>#N/A</v>
      </c>
      <c r="H64" t="e">
        <f>'Cálculos de escuadrado'!$G$3</f>
        <v>#DIV/0!</v>
      </c>
      <c r="J64" s="4" t="e">
        <f t="shared" ref="J64:J65" si="15">H64-F64</f>
        <v>#DIV/0!</v>
      </c>
    </row>
    <row r="65" spans="1:10" x14ac:dyDescent="0.25">
      <c r="A65" t="s">
        <v>60</v>
      </c>
      <c r="B65" t="s">
        <v>55</v>
      </c>
      <c r="C65" t="e">
        <f>HLOOKUP($C$2,Descontos!$E$1:$AA$18,16)</f>
        <v>#N/A</v>
      </c>
      <c r="F65" t="e">
        <f t="shared" si="14"/>
        <v>#N/A</v>
      </c>
      <c r="H65" t="e">
        <f>'Cálculos de escuadrado'!$G$3</f>
        <v>#DIV/0!</v>
      </c>
      <c r="J65" s="4" t="e">
        <f t="shared" si="15"/>
        <v>#DIV/0!</v>
      </c>
    </row>
    <row r="66" spans="1:10" x14ac:dyDescent="0.25">
      <c r="A66" t="s">
        <v>60</v>
      </c>
      <c r="B66" t="s">
        <v>53</v>
      </c>
      <c r="C66" t="e">
        <f>HLOOKUP($C$2,Descontos!$E$1:$AA$18,12)</f>
        <v>#N/A</v>
      </c>
      <c r="F66" t="e">
        <f>C66+D66</f>
        <v>#N/A</v>
      </c>
      <c r="H66">
        <f>Datos!C72</f>
        <v>0</v>
      </c>
      <c r="J66" s="4" t="e">
        <f>H66-F66</f>
        <v>#N/A</v>
      </c>
    </row>
    <row r="67" spans="1:10" x14ac:dyDescent="0.25">
      <c r="J67" s="4"/>
    </row>
    <row r="68" spans="1:10" x14ac:dyDescent="0.25">
      <c r="A68" t="s">
        <v>61</v>
      </c>
      <c r="B68" t="s">
        <v>49</v>
      </c>
      <c r="C68" t="e">
        <f>HLOOKUP($C$2,Descontos!$E$1:$AA$18,14)</f>
        <v>#N/A</v>
      </c>
      <c r="F68" t="e">
        <f t="shared" ref="F68:F69" si="16">C68+D68</f>
        <v>#N/A</v>
      </c>
      <c r="H68" t="e">
        <f>'Cálculos de escuadrado'!$G$4</f>
        <v>#DIV/0!</v>
      </c>
      <c r="J68" s="4" t="e">
        <f t="shared" ref="J68:J69" si="17">H68-F68</f>
        <v>#DIV/0!</v>
      </c>
    </row>
    <row r="69" spans="1:10" x14ac:dyDescent="0.25">
      <c r="A69" t="s">
        <v>61</v>
      </c>
      <c r="B69" t="s">
        <v>55</v>
      </c>
      <c r="C69" t="e">
        <f>HLOOKUP($C$2,Descontos!$E$1:$AA$18,16)</f>
        <v>#N/A</v>
      </c>
      <c r="F69" t="e">
        <f t="shared" si="16"/>
        <v>#N/A</v>
      </c>
      <c r="H69" t="e">
        <f>'Cálculos de escuadrado'!$G$4</f>
        <v>#DIV/0!</v>
      </c>
      <c r="J69" s="4" t="e">
        <f t="shared" si="17"/>
        <v>#DIV/0!</v>
      </c>
    </row>
    <row r="70" spans="1:10" x14ac:dyDescent="0.25">
      <c r="A70" t="s">
        <v>61</v>
      </c>
      <c r="B70" t="s">
        <v>53</v>
      </c>
      <c r="C70" t="e">
        <f>HLOOKUP($C$2,Descontos!$E$1:$AA$18,12)</f>
        <v>#N/A</v>
      </c>
      <c r="F70" t="e">
        <f>C70+D70</f>
        <v>#N/A</v>
      </c>
      <c r="H70">
        <f>Datos!C76</f>
        <v>0</v>
      </c>
      <c r="J70" s="4" t="e">
        <f>H70-F70</f>
        <v>#N/A</v>
      </c>
    </row>
    <row r="71" spans="1:10" x14ac:dyDescent="0.25">
      <c r="J71" s="4"/>
    </row>
    <row r="72" spans="1:10" x14ac:dyDescent="0.25">
      <c r="B72" t="s">
        <v>54</v>
      </c>
      <c r="C72" t="e">
        <f>HLOOKUP($C$2,Descontos!$E$1:$AA$18,13)</f>
        <v>#N/A</v>
      </c>
      <c r="D72">
        <f>IF(Datos!$C$17="SI",0.6,0)</f>
        <v>0</v>
      </c>
      <c r="F72" t="e">
        <f t="shared" ref="F72:F74" si="18">C72+D72</f>
        <v>#N/A</v>
      </c>
      <c r="J72" s="4" t="e">
        <f t="shared" ref="J72:J74" si="19">H72-F72</f>
        <v>#N/A</v>
      </c>
    </row>
    <row r="73" spans="1:10" x14ac:dyDescent="0.25">
      <c r="B73" t="s">
        <v>50</v>
      </c>
      <c r="C73" t="e">
        <f>HLOOKUP($C$2,Descontos!$E$1:$AA$18,15)</f>
        <v>#N/A</v>
      </c>
      <c r="D73">
        <f>IF(Datos!$C$17="SI",0.6,0)</f>
        <v>0</v>
      </c>
      <c r="F73" t="e">
        <f t="shared" si="18"/>
        <v>#N/A</v>
      </c>
      <c r="J73" s="4" t="e">
        <f t="shared" si="19"/>
        <v>#N/A</v>
      </c>
    </row>
    <row r="74" spans="1:10" x14ac:dyDescent="0.25">
      <c r="B74" t="s">
        <v>56</v>
      </c>
      <c r="C74" t="e">
        <f>HLOOKUP($C$2,Descontos!$E$1:$AA$18,17)</f>
        <v>#N/A</v>
      </c>
      <c r="D74">
        <f>IF(Datos!$C$17="SI",0.6,0)</f>
        <v>0</v>
      </c>
      <c r="F74" t="e">
        <f t="shared" si="18"/>
        <v>#N/A</v>
      </c>
      <c r="J74" s="4" t="e">
        <f t="shared" si="19"/>
        <v>#N/A</v>
      </c>
    </row>
    <row r="75" spans="1:10" x14ac:dyDescent="0.25">
      <c r="J75" s="4"/>
    </row>
    <row r="76" spans="1:10" x14ac:dyDescent="0.25">
      <c r="B76" t="s">
        <v>51</v>
      </c>
      <c r="D76">
        <f>IF(Datos!$C$17="SI",0.6,0)</f>
        <v>0</v>
      </c>
      <c r="F76">
        <f t="shared" ref="F76" si="20">C76+D76</f>
        <v>0</v>
      </c>
      <c r="J76" s="4">
        <f t="shared" ref="J76" si="21">H76-F76</f>
        <v>0</v>
      </c>
    </row>
    <row r="79" spans="1:10" x14ac:dyDescent="0.25">
      <c r="A79" s="107" t="s">
        <v>100</v>
      </c>
      <c r="B79" s="107"/>
      <c r="C79" s="107"/>
      <c r="D79" s="107"/>
      <c r="E79" s="107"/>
      <c r="F79" s="107"/>
      <c r="G79" s="107"/>
      <c r="H79" s="107"/>
      <c r="I79" s="107"/>
      <c r="J79" s="107"/>
    </row>
    <row r="80" spans="1:10" x14ac:dyDescent="0.25">
      <c r="C80" t="s">
        <v>63</v>
      </c>
      <c r="D80" t="s">
        <v>27</v>
      </c>
      <c r="F80" t="s">
        <v>64</v>
      </c>
      <c r="H80" t="s">
        <v>66</v>
      </c>
      <c r="J80" t="s">
        <v>65</v>
      </c>
    </row>
    <row r="81" spans="1:10" x14ac:dyDescent="0.25">
      <c r="B81" t="s">
        <v>15</v>
      </c>
      <c r="C81" t="e">
        <f>HLOOKUP($C$2,Descontos!$E$1:$AA$18,6)</f>
        <v>#N/A</v>
      </c>
      <c r="D81">
        <f>IF(Datos!$C$17="SI",0.6,0)</f>
        <v>0</v>
      </c>
      <c r="F81" t="e">
        <f>C81+D81</f>
        <v>#N/A</v>
      </c>
      <c r="H81">
        <f>Datos!$O$34</f>
        <v>0</v>
      </c>
      <c r="J81" s="4" t="e">
        <f>H81-F81</f>
        <v>#N/A</v>
      </c>
    </row>
    <row r="82" spans="1:10" x14ac:dyDescent="0.25">
      <c r="B82" t="s">
        <v>39</v>
      </c>
      <c r="H82" t="e">
        <f>MIN('Cálculos de escuadrado'!G15,'Cálculos de escuadrado'!G15)</f>
        <v>#DIV/0!</v>
      </c>
      <c r="J82" s="4" t="e">
        <f>H82-F82</f>
        <v>#DIV/0!</v>
      </c>
    </row>
    <row r="83" spans="1:10" x14ac:dyDescent="0.25">
      <c r="B83" t="s">
        <v>19</v>
      </c>
      <c r="C83" t="e">
        <f>HLOOKUP($C$2,Descontos!$E$1:$AA$18,8)</f>
        <v>#N/A</v>
      </c>
      <c r="D83">
        <f>IF(Datos!$C$17="SI",0.6,0)</f>
        <v>0</v>
      </c>
      <c r="F83" t="e">
        <f t="shared" ref="F83:F86" si="22">C83+D83</f>
        <v>#N/A</v>
      </c>
      <c r="H83">
        <f>Datos!$O$34</f>
        <v>0</v>
      </c>
      <c r="J83" s="4" t="e">
        <f t="shared" ref="J83:J86" si="23">H83-F83</f>
        <v>#N/A</v>
      </c>
    </row>
    <row r="84" spans="1:10" x14ac:dyDescent="0.25">
      <c r="B84" t="s">
        <v>40</v>
      </c>
      <c r="C84" t="e">
        <f>HLOOKUP($C$2,Descontos!$E$1:$AA$18,9)</f>
        <v>#N/A</v>
      </c>
      <c r="D84">
        <f>IF(Datos!$C$17="SI",0.6,0)</f>
        <v>0</v>
      </c>
      <c r="F84" t="e">
        <f t="shared" si="22"/>
        <v>#N/A</v>
      </c>
      <c r="H84">
        <f>Datos!$O$34</f>
        <v>0</v>
      </c>
      <c r="J84" s="4" t="e">
        <f t="shared" si="23"/>
        <v>#N/A</v>
      </c>
    </row>
    <row r="85" spans="1:10" x14ac:dyDescent="0.25">
      <c r="B85" t="s">
        <v>41</v>
      </c>
      <c r="C85" t="e">
        <f>HLOOKUP($C$2,Descontos!$E$1:$AA$18,10)</f>
        <v>#N/A</v>
      </c>
      <c r="D85">
        <f>IF(Datos!$C$17="SI",0.6,0)</f>
        <v>0</v>
      </c>
      <c r="F85" t="e">
        <f t="shared" si="22"/>
        <v>#N/A</v>
      </c>
      <c r="H85">
        <f>Datos!$O$34</f>
        <v>0</v>
      </c>
      <c r="J85" s="4" t="e">
        <f t="shared" si="23"/>
        <v>#N/A</v>
      </c>
    </row>
    <row r="86" spans="1:10" x14ac:dyDescent="0.25">
      <c r="B86" t="s">
        <v>42</v>
      </c>
      <c r="C86" t="e">
        <f>HLOOKUP($C$2,Descontos!$E$1:$AA$18,11)</f>
        <v>#N/A</v>
      </c>
      <c r="D86">
        <f>IF(Datos!$C$17="SI",0.6,0)</f>
        <v>0</v>
      </c>
      <c r="F86" t="e">
        <f t="shared" si="22"/>
        <v>#N/A</v>
      </c>
      <c r="H86">
        <f>Datos!$O$34</f>
        <v>0</v>
      </c>
      <c r="J86" s="4" t="e">
        <f t="shared" si="23"/>
        <v>#N/A</v>
      </c>
    </row>
    <row r="87" spans="1:10" x14ac:dyDescent="0.25">
      <c r="J87" s="4"/>
    </row>
    <row r="88" spans="1:10" x14ac:dyDescent="0.25">
      <c r="A88" t="s">
        <v>60</v>
      </c>
      <c r="B88" t="s">
        <v>49</v>
      </c>
      <c r="C88" t="e">
        <f>HLOOKUP($C$2,Descontos!$E$1:$AA$18,14)</f>
        <v>#N/A</v>
      </c>
      <c r="F88" t="e">
        <f t="shared" ref="F88:F89" si="24">C88+D88</f>
        <v>#N/A</v>
      </c>
      <c r="H88" t="e">
        <f>'Cálculos de escuadrado'!$G$3</f>
        <v>#DIV/0!</v>
      </c>
      <c r="J88" s="4" t="e">
        <f t="shared" ref="J88:J89" si="25">H88-F88</f>
        <v>#DIV/0!</v>
      </c>
    </row>
    <row r="89" spans="1:10" x14ac:dyDescent="0.25">
      <c r="A89" t="s">
        <v>60</v>
      </c>
      <c r="B89" t="s">
        <v>55</v>
      </c>
      <c r="C89" t="e">
        <f>HLOOKUP($C$2,Descontos!$E$1:$AA$18,16)</f>
        <v>#N/A</v>
      </c>
      <c r="F89" t="e">
        <f t="shared" si="24"/>
        <v>#N/A</v>
      </c>
      <c r="H89" t="e">
        <f>'Cálculos de escuadrado'!$G$3</f>
        <v>#DIV/0!</v>
      </c>
      <c r="J89" s="4" t="e">
        <f t="shared" si="25"/>
        <v>#DIV/0!</v>
      </c>
    </row>
    <row r="90" spans="1:10" x14ac:dyDescent="0.25">
      <c r="A90" t="s">
        <v>60</v>
      </c>
      <c r="B90" t="s">
        <v>53</v>
      </c>
      <c r="C90" t="e">
        <f>HLOOKUP($C$2,Descontos!$E$1:$AA$18,12)</f>
        <v>#N/A</v>
      </c>
      <c r="F90" t="e">
        <f>C90+D90</f>
        <v>#N/A</v>
      </c>
      <c r="H90">
        <f>Datos!C95</f>
        <v>0</v>
      </c>
      <c r="J90" s="4" t="e">
        <f>H90-F90</f>
        <v>#N/A</v>
      </c>
    </row>
    <row r="91" spans="1:10" x14ac:dyDescent="0.25">
      <c r="J91" s="4"/>
    </row>
    <row r="92" spans="1:10" x14ac:dyDescent="0.25">
      <c r="A92" t="s">
        <v>61</v>
      </c>
      <c r="B92" t="s">
        <v>49</v>
      </c>
      <c r="C92" t="e">
        <f>HLOOKUP($C$2,Descontos!$E$1:$AA$18,14)</f>
        <v>#N/A</v>
      </c>
      <c r="F92" t="e">
        <f t="shared" ref="F92:F93" si="26">C92+D92</f>
        <v>#N/A</v>
      </c>
      <c r="H92" t="e">
        <f>'Cálculos de escuadrado'!$G$4</f>
        <v>#DIV/0!</v>
      </c>
      <c r="J92" s="4" t="e">
        <f t="shared" ref="J92:J93" si="27">H92-F92</f>
        <v>#DIV/0!</v>
      </c>
    </row>
    <row r="93" spans="1:10" x14ac:dyDescent="0.25">
      <c r="A93" t="s">
        <v>61</v>
      </c>
      <c r="B93" t="s">
        <v>55</v>
      </c>
      <c r="C93" t="e">
        <f>HLOOKUP($C$2,Descontos!$E$1:$AA$18,16)</f>
        <v>#N/A</v>
      </c>
      <c r="F93" t="e">
        <f t="shared" si="26"/>
        <v>#N/A</v>
      </c>
      <c r="H93" t="e">
        <f>'Cálculos de escuadrado'!$G$4</f>
        <v>#DIV/0!</v>
      </c>
      <c r="J93" s="4" t="e">
        <f t="shared" si="27"/>
        <v>#DIV/0!</v>
      </c>
    </row>
    <row r="94" spans="1:10" x14ac:dyDescent="0.25">
      <c r="A94" t="s">
        <v>61</v>
      </c>
      <c r="B94" t="s">
        <v>53</v>
      </c>
      <c r="C94" t="e">
        <f>HLOOKUP($C$2,Descontos!$E$1:$AA$18,12)</f>
        <v>#N/A</v>
      </c>
      <c r="F94" t="e">
        <f>C94+D94</f>
        <v>#N/A</v>
      </c>
      <c r="H94">
        <f>Datos!C99</f>
        <v>0</v>
      </c>
      <c r="J94" s="4" t="e">
        <f>H94-F94</f>
        <v>#N/A</v>
      </c>
    </row>
    <row r="95" spans="1:10" x14ac:dyDescent="0.25">
      <c r="J95" s="4"/>
    </row>
    <row r="96" spans="1:10" x14ac:dyDescent="0.25">
      <c r="B96" t="s">
        <v>54</v>
      </c>
      <c r="C96" t="e">
        <f>HLOOKUP($C$2,Descontos!$E$1:$AA$18,13)</f>
        <v>#N/A</v>
      </c>
      <c r="D96">
        <f>IF(Datos!$C$17="SI",0.6,0)</f>
        <v>0</v>
      </c>
      <c r="F96" t="e">
        <f t="shared" ref="F96:F98" si="28">C96+D96</f>
        <v>#N/A</v>
      </c>
      <c r="J96" s="4" t="e">
        <f t="shared" ref="J96:J98" si="29">H96-F96</f>
        <v>#N/A</v>
      </c>
    </row>
    <row r="97" spans="2:10" x14ac:dyDescent="0.25">
      <c r="B97" t="s">
        <v>50</v>
      </c>
      <c r="C97" t="e">
        <f>HLOOKUP($C$2,Descontos!$E$1:$AA$18,15)</f>
        <v>#N/A</v>
      </c>
      <c r="D97">
        <f>IF(Datos!$C$17="SI",0.6,0)</f>
        <v>0</v>
      </c>
      <c r="F97" t="e">
        <f t="shared" si="28"/>
        <v>#N/A</v>
      </c>
      <c r="J97" s="4" t="e">
        <f t="shared" si="29"/>
        <v>#N/A</v>
      </c>
    </row>
    <row r="98" spans="2:10" x14ac:dyDescent="0.25">
      <c r="B98" t="s">
        <v>56</v>
      </c>
      <c r="C98" t="e">
        <f>HLOOKUP($C$2,Descontos!$E$1:$AA$18,17)</f>
        <v>#N/A</v>
      </c>
      <c r="D98">
        <f>IF(Datos!$C$17="SI",0.6,0)</f>
        <v>0</v>
      </c>
      <c r="F98" t="e">
        <f t="shared" si="28"/>
        <v>#N/A</v>
      </c>
      <c r="J98" s="4" t="e">
        <f t="shared" si="29"/>
        <v>#N/A</v>
      </c>
    </row>
    <row r="99" spans="2:10" x14ac:dyDescent="0.25">
      <c r="J99" s="4"/>
    </row>
    <row r="100" spans="2:10" x14ac:dyDescent="0.25">
      <c r="B100" t="s">
        <v>51</v>
      </c>
      <c r="D100">
        <f>IF(Datos!$C$17="SI",0.6,0)</f>
        <v>0</v>
      </c>
      <c r="F100">
        <f t="shared" ref="F100" si="30">C100+D100</f>
        <v>0</v>
      </c>
      <c r="J100" s="4">
        <f t="shared" ref="J100" si="31">H100-F100</f>
        <v>0</v>
      </c>
    </row>
  </sheetData>
  <mergeCells count="4">
    <mergeCell ref="A7:J7"/>
    <mergeCell ref="A31:J31"/>
    <mergeCell ref="A55:J55"/>
    <mergeCell ref="A79:J7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79D4-8D9E-4CAA-8F33-F1DB775234F0}">
  <dimension ref="A1:O18"/>
  <sheetViews>
    <sheetView workbookViewId="0">
      <selection activeCell="G4" sqref="G4"/>
    </sheetView>
  </sheetViews>
  <sheetFormatPr baseColWidth="10" defaultRowHeight="15" x14ac:dyDescent="0.25"/>
  <cols>
    <col min="1" max="1" width="18" customWidth="1"/>
    <col min="3" max="3" width="12.7109375" customWidth="1"/>
    <col min="7" max="7" width="13.42578125" customWidth="1"/>
    <col min="9" max="9" width="15.42578125" customWidth="1"/>
    <col min="14" max="14" width="14.85546875" customWidth="1"/>
    <col min="15" max="15" width="16.5703125" customWidth="1"/>
  </cols>
  <sheetData>
    <row r="1" spans="1:15" x14ac:dyDescent="0.25">
      <c r="A1" t="s">
        <v>0</v>
      </c>
      <c r="C1" t="s">
        <v>1</v>
      </c>
      <c r="E1" t="s">
        <v>4</v>
      </c>
      <c r="G1" t="s">
        <v>6</v>
      </c>
      <c r="I1" t="s">
        <v>27</v>
      </c>
      <c r="K1" t="s">
        <v>62</v>
      </c>
      <c r="M1" t="s">
        <v>16</v>
      </c>
      <c r="O1" t="s">
        <v>121</v>
      </c>
    </row>
    <row r="2" spans="1:15" x14ac:dyDescent="0.25">
      <c r="A2">
        <v>110</v>
      </c>
      <c r="C2" t="s">
        <v>2</v>
      </c>
      <c r="E2" t="s">
        <v>3</v>
      </c>
      <c r="G2" t="s">
        <v>7</v>
      </c>
      <c r="I2" t="s">
        <v>3</v>
      </c>
      <c r="K2" t="s">
        <v>2</v>
      </c>
      <c r="M2" t="s">
        <v>2</v>
      </c>
      <c r="O2">
        <v>0</v>
      </c>
    </row>
    <row r="3" spans="1:15" x14ac:dyDescent="0.25">
      <c r="A3">
        <v>130</v>
      </c>
      <c r="C3" t="s">
        <v>3</v>
      </c>
      <c r="E3" t="s">
        <v>5</v>
      </c>
      <c r="G3" t="s">
        <v>8</v>
      </c>
      <c r="I3" t="s">
        <v>2</v>
      </c>
      <c r="K3" t="s">
        <v>3</v>
      </c>
      <c r="M3" t="s">
        <v>3</v>
      </c>
      <c r="O3">
        <v>200</v>
      </c>
    </row>
    <row r="4" spans="1:15" x14ac:dyDescent="0.25">
      <c r="A4">
        <v>150</v>
      </c>
      <c r="E4" t="s">
        <v>85</v>
      </c>
      <c r="O4">
        <v>250</v>
      </c>
    </row>
    <row r="5" spans="1:15" x14ac:dyDescent="0.25">
      <c r="O5">
        <v>300</v>
      </c>
    </row>
    <row r="6" spans="1:15" x14ac:dyDescent="0.25">
      <c r="O6">
        <v>350</v>
      </c>
    </row>
    <row r="7" spans="1:15" x14ac:dyDescent="0.25">
      <c r="O7">
        <v>400</v>
      </c>
    </row>
    <row r="8" spans="1:15" x14ac:dyDescent="0.25">
      <c r="O8">
        <v>450</v>
      </c>
    </row>
    <row r="9" spans="1:15" x14ac:dyDescent="0.25">
      <c r="O9">
        <v>500</v>
      </c>
    </row>
    <row r="10" spans="1:15" x14ac:dyDescent="0.25">
      <c r="O10">
        <v>550</v>
      </c>
    </row>
    <row r="11" spans="1:15" x14ac:dyDescent="0.25">
      <c r="O11">
        <v>600</v>
      </c>
    </row>
    <row r="12" spans="1:15" x14ac:dyDescent="0.25">
      <c r="O12">
        <v>650</v>
      </c>
    </row>
    <row r="13" spans="1:15" x14ac:dyDescent="0.25">
      <c r="O13">
        <v>700</v>
      </c>
    </row>
    <row r="15" spans="1:15" x14ac:dyDescent="0.25">
      <c r="N15" t="s">
        <v>122</v>
      </c>
      <c r="O15">
        <f t="array" ref="O15">MIN(IF(Tabla8[Medidas cristal]&gt;'Medidas Toldo 1'!F9,Tabla8[Medidas cristal]))</f>
        <v>200</v>
      </c>
    </row>
    <row r="16" spans="1:15" x14ac:dyDescent="0.25">
      <c r="N16" t="s">
        <v>123</v>
      </c>
      <c r="O16">
        <f t="array" ref="O16">MIN(IF(Tabla8[Medidas cristal]&gt;'Medidas Toldo 2'!F9,Tabla8[Medidas cristal]))</f>
        <v>200</v>
      </c>
    </row>
    <row r="17" spans="14:15" x14ac:dyDescent="0.25">
      <c r="N17" t="s">
        <v>124</v>
      </c>
      <c r="O17">
        <f t="array" ref="O17">MIN(IF(Tabla8[Medidas cristal]&gt;'Medidas Toldo 3'!F9,Tabla8[Medidas cristal]))</f>
        <v>200</v>
      </c>
    </row>
    <row r="18" spans="14:15" x14ac:dyDescent="0.25">
      <c r="N18" t="s">
        <v>125</v>
      </c>
      <c r="O18">
        <f t="array" ref="O18">MIN(IF(Tabla8[Medidas cristal]&gt;'Medidas Toldo 4'!F9,Tabla8[Medidas cristal]))</f>
        <v>200</v>
      </c>
    </row>
  </sheetData>
  <phoneticPr fontId="21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61DDDE-C1CA-4692-853E-1290CF99DC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4</vt:i4>
      </vt:variant>
    </vt:vector>
  </HeadingPairs>
  <TitlesOfParts>
    <vt:vector size="15" baseType="lpstr">
      <vt:lpstr>Datos</vt:lpstr>
      <vt:lpstr>Medidas Toldo 1</vt:lpstr>
      <vt:lpstr>Medidas Toldo 2</vt:lpstr>
      <vt:lpstr>Medidas Toldo 3</vt:lpstr>
      <vt:lpstr>Medidas Toldo 4</vt:lpstr>
      <vt:lpstr>M TELAS</vt:lpstr>
      <vt:lpstr>Cálculos de escuadrado</vt:lpstr>
      <vt:lpstr>Descontos</vt:lpstr>
      <vt:lpstr>Escandallo</vt:lpstr>
      <vt:lpstr>Cálculos de medidas</vt:lpstr>
      <vt:lpstr>Características</vt:lpstr>
      <vt:lpstr>'Medidas Toldo 1'!Área_de_impresión</vt:lpstr>
      <vt:lpstr>'Medidas Toldo 2'!Área_de_impresión</vt:lpstr>
      <vt:lpstr>'Medidas Toldo 3'!Área_de_impresión</vt:lpstr>
      <vt:lpstr>'Medidas Toldo 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Garcia Costoyoa</dc:creator>
  <cp:lastModifiedBy>Angel Garcia Costoyoa</cp:lastModifiedBy>
  <cp:lastPrinted>2026-03-17T11:02:23Z</cp:lastPrinted>
  <dcterms:created xsi:type="dcterms:W3CDTF">2026-03-09T10:54:10Z</dcterms:created>
  <dcterms:modified xsi:type="dcterms:W3CDTF">2026-03-18T12:31:57Z</dcterms:modified>
</cp:coreProperties>
</file>